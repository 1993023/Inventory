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VSWorkingDir\integration\"/>
    </mc:Choice>
  </mc:AlternateContent>
  <xr:revisionPtr revIDLastSave="0" documentId="13_ncr:1_{ED9A019B-8BE1-4384-845B-831B3B051C08}" xr6:coauthVersionLast="43" xr6:coauthVersionMax="43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Jan" sheetId="1" r:id="rId1"/>
    <sheet name="Jan (rev)" sheetId="4" r:id="rId2"/>
    <sheet name="Feb" sheetId="5" r:id="rId3"/>
    <sheet name="Mar" sheetId="6" r:id="rId4"/>
    <sheet name="Apr" sheetId="7" r:id="rId5"/>
    <sheet name="May" sheetId="8" r:id="rId6"/>
    <sheet name="June" sheetId="9" r:id="rId7"/>
    <sheet name="July" sheetId="10" r:id="rId8"/>
    <sheet name="Aug" sheetId="11" r:id="rId9"/>
    <sheet name="Sept" sheetId="12" r:id="rId10"/>
    <sheet name="Oct" sheetId="13" r:id="rId11"/>
    <sheet name="Nov" sheetId="14" r:id="rId12"/>
    <sheet name="Dec" sheetId="15" r:id="rId13"/>
    <sheet name="Sheet2" sheetId="2" r:id="rId14"/>
    <sheet name="Sheet3" sheetId="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87" i="11" l="1"/>
  <c r="AD66" i="11"/>
  <c r="T66" i="11"/>
  <c r="AD66" i="10"/>
  <c r="T66" i="10"/>
  <c r="AA8" i="9"/>
  <c r="AD66" i="9"/>
  <c r="T66" i="9"/>
  <c r="P54" i="11" l="1"/>
  <c r="AD54" i="11"/>
  <c r="AD64" i="10"/>
  <c r="P54" i="10"/>
  <c r="AD54" i="10"/>
  <c r="AD64" i="11" l="1"/>
  <c r="Y64" i="11"/>
  <c r="K65" i="11"/>
  <c r="AD65" i="11"/>
  <c r="T85" i="11"/>
  <c r="T86" i="11"/>
  <c r="T84" i="11"/>
  <c r="D91" i="11"/>
  <c r="K91" i="11"/>
  <c r="K91" i="10"/>
  <c r="D91" i="10" s="1"/>
  <c r="K65" i="10" l="1"/>
  <c r="K64" i="10"/>
  <c r="Y64" i="10"/>
  <c r="AB8" i="15"/>
  <c r="AA8" i="15"/>
  <c r="Y8" i="15"/>
  <c r="S8" i="15"/>
  <c r="R8" i="15"/>
  <c r="AB8" i="14"/>
  <c r="AA8" i="14"/>
  <c r="AD8" i="14" s="1"/>
  <c r="Y8" i="14"/>
  <c r="S8" i="14"/>
  <c r="T8" i="14" s="1"/>
  <c r="R8" i="14"/>
  <c r="AB8" i="13"/>
  <c r="AA8" i="13"/>
  <c r="AD8" i="13" s="1"/>
  <c r="Y8" i="13"/>
  <c r="S8" i="13"/>
  <c r="T8" i="13" s="1"/>
  <c r="R8" i="13"/>
  <c r="AB8" i="12"/>
  <c r="AA8" i="12"/>
  <c r="Y8" i="12"/>
  <c r="S8" i="12"/>
  <c r="R8" i="12"/>
  <c r="AB8" i="11"/>
  <c r="AA8" i="11"/>
  <c r="Y8" i="11"/>
  <c r="S8" i="11"/>
  <c r="R8" i="11"/>
  <c r="AB8" i="10"/>
  <c r="AA8" i="10"/>
  <c r="Y8" i="10"/>
  <c r="S8" i="10"/>
  <c r="T8" i="10" s="1"/>
  <c r="R8" i="10"/>
  <c r="T8" i="11" l="1"/>
  <c r="T8" i="15"/>
  <c r="T8" i="12"/>
  <c r="AD8" i="11"/>
  <c r="AD8" i="15"/>
  <c r="AD8" i="10"/>
  <c r="AD8" i="12"/>
  <c r="AB8" i="9" l="1"/>
  <c r="S8" i="9"/>
  <c r="R5" i="9"/>
  <c r="R8" i="9"/>
  <c r="Y50" i="9"/>
  <c r="T51" i="9" l="1"/>
  <c r="AD51" i="9"/>
  <c r="AA8" i="8" l="1"/>
  <c r="T85" i="10" l="1"/>
  <c r="T86" i="10"/>
  <c r="T87" i="10"/>
  <c r="T84" i="10"/>
  <c r="K70" i="8" l="1"/>
  <c r="P70" i="8"/>
  <c r="P54" i="8"/>
  <c r="AD54" i="8"/>
  <c r="AD71" i="8"/>
  <c r="AD51" i="8"/>
  <c r="T51" i="8"/>
  <c r="AD72" i="9" l="1"/>
  <c r="AD71" i="9"/>
  <c r="K64" i="9"/>
  <c r="Y64" i="9"/>
  <c r="P65" i="9"/>
  <c r="K65" i="9"/>
  <c r="AD54" i="9"/>
  <c r="P54" i="9"/>
  <c r="AD52" i="9"/>
  <c r="T52" i="9"/>
  <c r="T85" i="9"/>
  <c r="T86" i="9"/>
  <c r="T87" i="9"/>
  <c r="T84" i="9"/>
  <c r="AD64" i="8"/>
  <c r="Y64" i="8"/>
  <c r="K65" i="8"/>
  <c r="AD52" i="8"/>
  <c r="T52" i="8"/>
  <c r="T85" i="8"/>
  <c r="T86" i="8"/>
  <c r="T87" i="8"/>
  <c r="T84" i="8"/>
  <c r="AD66" i="8"/>
  <c r="T66" i="8"/>
  <c r="AC36" i="15" l="1"/>
  <c r="AB36" i="15"/>
  <c r="AA36" i="15"/>
  <c r="X36" i="15"/>
  <c r="W36" i="15"/>
  <c r="V36" i="15"/>
  <c r="O36" i="15"/>
  <c r="N36" i="15"/>
  <c r="M36" i="15"/>
  <c r="J36" i="15"/>
  <c r="I36" i="15"/>
  <c r="H36" i="15"/>
  <c r="G36" i="15"/>
  <c r="F36" i="15"/>
  <c r="C36" i="15"/>
  <c r="AC36" i="14"/>
  <c r="AB36" i="14"/>
  <c r="AA36" i="14"/>
  <c r="X36" i="14"/>
  <c r="W36" i="14"/>
  <c r="V36" i="14"/>
  <c r="O36" i="14"/>
  <c r="N36" i="14"/>
  <c r="M36" i="14"/>
  <c r="J36" i="14"/>
  <c r="I36" i="14"/>
  <c r="H36" i="14"/>
  <c r="G36" i="14"/>
  <c r="F36" i="14"/>
  <c r="C36" i="14"/>
  <c r="AC36" i="13"/>
  <c r="AB36" i="13"/>
  <c r="AA36" i="13"/>
  <c r="X36" i="13"/>
  <c r="W36" i="13"/>
  <c r="V36" i="13"/>
  <c r="O36" i="13"/>
  <c r="N36" i="13"/>
  <c r="M36" i="13"/>
  <c r="J36" i="13"/>
  <c r="I36" i="13"/>
  <c r="H36" i="13"/>
  <c r="G36" i="13"/>
  <c r="F36" i="13"/>
  <c r="C36" i="13"/>
  <c r="AC36" i="12"/>
  <c r="AB36" i="12"/>
  <c r="AA36" i="12"/>
  <c r="X36" i="12"/>
  <c r="W36" i="12"/>
  <c r="V36" i="12"/>
  <c r="O36" i="12"/>
  <c r="N36" i="12"/>
  <c r="M36" i="12"/>
  <c r="J36" i="12"/>
  <c r="I36" i="12"/>
  <c r="H36" i="12"/>
  <c r="G36" i="12"/>
  <c r="F36" i="12"/>
  <c r="C36" i="12"/>
  <c r="AC36" i="11"/>
  <c r="AB36" i="11"/>
  <c r="AA36" i="11"/>
  <c r="X36" i="11"/>
  <c r="W36" i="11"/>
  <c r="V36" i="11"/>
  <c r="O36" i="11"/>
  <c r="N36" i="11"/>
  <c r="M36" i="11"/>
  <c r="J36" i="11"/>
  <c r="I36" i="11"/>
  <c r="H36" i="11"/>
  <c r="G36" i="11"/>
  <c r="F36" i="11"/>
  <c r="C36" i="11"/>
  <c r="AC36" i="10"/>
  <c r="AB36" i="10"/>
  <c r="AA36" i="10"/>
  <c r="X36" i="10"/>
  <c r="W36" i="10"/>
  <c r="V36" i="10"/>
  <c r="O36" i="10"/>
  <c r="N36" i="10"/>
  <c r="M36" i="10"/>
  <c r="J36" i="10"/>
  <c r="I36" i="10"/>
  <c r="H36" i="10"/>
  <c r="G36" i="10"/>
  <c r="F36" i="10"/>
  <c r="C36" i="10"/>
  <c r="AC36" i="9"/>
  <c r="AB36" i="9"/>
  <c r="AA36" i="9"/>
  <c r="X36" i="9"/>
  <c r="W36" i="9"/>
  <c r="V36" i="9"/>
  <c r="O36" i="9"/>
  <c r="N36" i="9"/>
  <c r="M36" i="9"/>
  <c r="J36" i="9"/>
  <c r="I36" i="9"/>
  <c r="H36" i="9"/>
  <c r="G36" i="9"/>
  <c r="F36" i="9"/>
  <c r="C36" i="9"/>
  <c r="AC36" i="8"/>
  <c r="AB36" i="8"/>
  <c r="AA36" i="8"/>
  <c r="X36" i="8"/>
  <c r="W36" i="8"/>
  <c r="V36" i="8"/>
  <c r="O36" i="8"/>
  <c r="N36" i="8"/>
  <c r="M36" i="8"/>
  <c r="J36" i="8"/>
  <c r="I36" i="8"/>
  <c r="H36" i="8"/>
  <c r="G36" i="8"/>
  <c r="F36" i="8"/>
  <c r="C36" i="8"/>
  <c r="AC36" i="6"/>
  <c r="AB36" i="6"/>
  <c r="AA36" i="6"/>
  <c r="X36" i="6"/>
  <c r="W36" i="6"/>
  <c r="V36" i="6"/>
  <c r="O36" i="6"/>
  <c r="N36" i="6"/>
  <c r="M36" i="6"/>
  <c r="J36" i="6"/>
  <c r="I36" i="6"/>
  <c r="H36" i="6"/>
  <c r="G36" i="6"/>
  <c r="F36" i="6"/>
  <c r="C36" i="6"/>
  <c r="AC36" i="5"/>
  <c r="AB36" i="5"/>
  <c r="AA36" i="5"/>
  <c r="X36" i="5"/>
  <c r="W36" i="5"/>
  <c r="V36" i="5"/>
  <c r="O36" i="5"/>
  <c r="N36" i="5"/>
  <c r="M36" i="5"/>
  <c r="J36" i="5"/>
  <c r="I36" i="5"/>
  <c r="H36" i="5"/>
  <c r="G36" i="5"/>
  <c r="F36" i="5"/>
  <c r="C36" i="5"/>
  <c r="AC36" i="4"/>
  <c r="AB36" i="4"/>
  <c r="AA36" i="4"/>
  <c r="X36" i="4"/>
  <c r="W36" i="4"/>
  <c r="V36" i="4"/>
  <c r="T36" i="4"/>
  <c r="O36" i="4"/>
  <c r="N36" i="4"/>
  <c r="M36" i="4"/>
  <c r="J36" i="4"/>
  <c r="I36" i="4"/>
  <c r="H36" i="4"/>
  <c r="G36" i="4"/>
  <c r="F36" i="4"/>
  <c r="AA36" i="7"/>
  <c r="AB36" i="7"/>
  <c r="AC36" i="7"/>
  <c r="C36" i="7"/>
  <c r="AD72" i="7" l="1"/>
  <c r="AD71" i="7"/>
  <c r="Y64" i="7"/>
  <c r="AD64" i="7"/>
  <c r="P65" i="7"/>
  <c r="K65" i="7"/>
  <c r="K64" i="7"/>
  <c r="AD54" i="7"/>
  <c r="P70" i="7"/>
  <c r="AD70" i="7"/>
  <c r="AD63" i="7"/>
  <c r="Y63" i="7"/>
  <c r="AD51" i="7"/>
  <c r="T51" i="7"/>
  <c r="T85" i="7"/>
  <c r="T86" i="7"/>
  <c r="T87" i="7"/>
  <c r="T84" i="7"/>
  <c r="AC27" i="15" l="1"/>
  <c r="AB27" i="15"/>
  <c r="AA27" i="15"/>
  <c r="Z27" i="15"/>
  <c r="X27" i="15"/>
  <c r="W27" i="15"/>
  <c r="V27" i="15"/>
  <c r="U27" i="15"/>
  <c r="T27" i="15"/>
  <c r="S27" i="15"/>
  <c r="R27" i="15"/>
  <c r="Q27" i="15"/>
  <c r="O27" i="15"/>
  <c r="N27" i="15"/>
  <c r="M27" i="15"/>
  <c r="L27" i="15"/>
  <c r="J27" i="15"/>
  <c r="I27" i="15"/>
  <c r="H27" i="15"/>
  <c r="G27" i="15"/>
  <c r="F27" i="15"/>
  <c r="E27" i="15"/>
  <c r="C27" i="15"/>
  <c r="AC27" i="14"/>
  <c r="AB27" i="14"/>
  <c r="AA27" i="14"/>
  <c r="Z27" i="14"/>
  <c r="X27" i="14"/>
  <c r="W27" i="14"/>
  <c r="V27" i="14"/>
  <c r="U27" i="14"/>
  <c r="T27" i="14"/>
  <c r="S27" i="14"/>
  <c r="R27" i="14"/>
  <c r="Q27" i="14"/>
  <c r="O27" i="14"/>
  <c r="N27" i="14"/>
  <c r="M27" i="14"/>
  <c r="L27" i="14"/>
  <c r="J27" i="14"/>
  <c r="I27" i="14"/>
  <c r="H27" i="14"/>
  <c r="G27" i="14"/>
  <c r="F27" i="14"/>
  <c r="E27" i="14"/>
  <c r="C27" i="14"/>
  <c r="AC27" i="13"/>
  <c r="AB27" i="13"/>
  <c r="AA27" i="13"/>
  <c r="Z27" i="13"/>
  <c r="X27" i="13"/>
  <c r="W27" i="13"/>
  <c r="V27" i="13"/>
  <c r="U27" i="13"/>
  <c r="T27" i="13"/>
  <c r="S27" i="13"/>
  <c r="R27" i="13"/>
  <c r="Q27" i="13"/>
  <c r="O27" i="13"/>
  <c r="N27" i="13"/>
  <c r="M27" i="13"/>
  <c r="L27" i="13"/>
  <c r="J27" i="13"/>
  <c r="I27" i="13"/>
  <c r="H27" i="13"/>
  <c r="G27" i="13"/>
  <c r="F27" i="13"/>
  <c r="E27" i="13"/>
  <c r="C27" i="13"/>
  <c r="AC27" i="12"/>
  <c r="AB27" i="12"/>
  <c r="AA27" i="12"/>
  <c r="Z27" i="12"/>
  <c r="X27" i="12"/>
  <c r="W27" i="12"/>
  <c r="V27" i="12"/>
  <c r="U27" i="12"/>
  <c r="T27" i="12"/>
  <c r="S27" i="12"/>
  <c r="R27" i="12"/>
  <c r="Q27" i="12"/>
  <c r="O27" i="12"/>
  <c r="N27" i="12"/>
  <c r="M27" i="12"/>
  <c r="L27" i="12"/>
  <c r="J27" i="12"/>
  <c r="I27" i="12"/>
  <c r="H27" i="12"/>
  <c r="G27" i="12"/>
  <c r="F27" i="12"/>
  <c r="E27" i="12"/>
  <c r="C27" i="12"/>
  <c r="AC27" i="11"/>
  <c r="AB27" i="11"/>
  <c r="AA27" i="11"/>
  <c r="Z27" i="11"/>
  <c r="X27" i="11"/>
  <c r="W27" i="11"/>
  <c r="V27" i="11"/>
  <c r="U27" i="11"/>
  <c r="T27" i="11"/>
  <c r="S27" i="11"/>
  <c r="R27" i="11"/>
  <c r="Q27" i="11"/>
  <c r="O27" i="11"/>
  <c r="N27" i="11"/>
  <c r="M27" i="11"/>
  <c r="L27" i="11"/>
  <c r="J27" i="11"/>
  <c r="I27" i="11"/>
  <c r="H27" i="11"/>
  <c r="G27" i="11"/>
  <c r="F27" i="11"/>
  <c r="E27" i="11"/>
  <c r="C27" i="11"/>
  <c r="AC27" i="10"/>
  <c r="AB27" i="10"/>
  <c r="AA27" i="10"/>
  <c r="Z27" i="10"/>
  <c r="X27" i="10"/>
  <c r="W27" i="10"/>
  <c r="V27" i="10"/>
  <c r="U27" i="10"/>
  <c r="T27" i="10"/>
  <c r="S27" i="10"/>
  <c r="R27" i="10"/>
  <c r="Q27" i="10"/>
  <c r="O27" i="10"/>
  <c r="N27" i="10"/>
  <c r="M27" i="10"/>
  <c r="L27" i="10"/>
  <c r="J27" i="10"/>
  <c r="I27" i="10"/>
  <c r="H27" i="10"/>
  <c r="G27" i="10"/>
  <c r="F27" i="10"/>
  <c r="E27" i="10"/>
  <c r="C27" i="10"/>
  <c r="AC27" i="9"/>
  <c r="AB27" i="9"/>
  <c r="AA27" i="9"/>
  <c r="Z27" i="9"/>
  <c r="X27" i="9"/>
  <c r="W27" i="9"/>
  <c r="V27" i="9"/>
  <c r="U27" i="9"/>
  <c r="T27" i="9"/>
  <c r="S27" i="9"/>
  <c r="R27" i="9"/>
  <c r="Q27" i="9"/>
  <c r="O27" i="9"/>
  <c r="N27" i="9"/>
  <c r="M27" i="9"/>
  <c r="L27" i="9"/>
  <c r="J27" i="9"/>
  <c r="I27" i="9"/>
  <c r="H27" i="9"/>
  <c r="G27" i="9"/>
  <c r="F27" i="9"/>
  <c r="E27" i="9"/>
  <c r="C27" i="9"/>
  <c r="AC27" i="8"/>
  <c r="AB27" i="8"/>
  <c r="AA27" i="8"/>
  <c r="Z27" i="8"/>
  <c r="X27" i="8"/>
  <c r="W27" i="8"/>
  <c r="V27" i="8"/>
  <c r="U27" i="8"/>
  <c r="T27" i="8"/>
  <c r="S27" i="8"/>
  <c r="R27" i="8"/>
  <c r="Q27" i="8"/>
  <c r="O27" i="8"/>
  <c r="N27" i="8"/>
  <c r="M27" i="8"/>
  <c r="L27" i="8"/>
  <c r="J27" i="8"/>
  <c r="I27" i="8"/>
  <c r="H27" i="8"/>
  <c r="G27" i="8"/>
  <c r="F27" i="8"/>
  <c r="E27" i="8"/>
  <c r="C27" i="8"/>
  <c r="E27" i="7"/>
  <c r="F27" i="7"/>
  <c r="G27" i="7"/>
  <c r="H27" i="7"/>
  <c r="I27" i="7"/>
  <c r="J27" i="7"/>
  <c r="L27" i="7"/>
  <c r="M27" i="7"/>
  <c r="N27" i="7"/>
  <c r="O27" i="7"/>
  <c r="Q27" i="7"/>
  <c r="R27" i="7"/>
  <c r="S27" i="7"/>
  <c r="T27" i="7"/>
  <c r="U27" i="7"/>
  <c r="V27" i="7"/>
  <c r="W27" i="7"/>
  <c r="X27" i="7"/>
  <c r="Z27" i="7"/>
  <c r="AA27" i="7"/>
  <c r="AB27" i="7"/>
  <c r="AC27" i="7"/>
  <c r="C27" i="7"/>
  <c r="K91" i="9"/>
  <c r="D91" i="9" s="1"/>
  <c r="K91" i="8"/>
  <c r="D91" i="8" s="1"/>
  <c r="C99" i="15"/>
  <c r="C99" i="14"/>
  <c r="C99" i="13"/>
  <c r="C99" i="12"/>
  <c r="C99" i="11"/>
  <c r="C99" i="10"/>
  <c r="C99" i="9"/>
  <c r="C99" i="8"/>
  <c r="C99" i="7"/>
  <c r="K91" i="7" l="1"/>
  <c r="D91" i="7" s="1"/>
  <c r="P54" i="7"/>
  <c r="AD65" i="7"/>
  <c r="S14" i="7"/>
  <c r="K70" i="7"/>
  <c r="P53" i="7" l="1"/>
  <c r="Y53" i="7"/>
  <c r="K82" i="7"/>
  <c r="Y50" i="7"/>
  <c r="C67" i="7"/>
  <c r="K82" i="8" l="1"/>
  <c r="Y50" i="8"/>
  <c r="AA14" i="5" l="1"/>
  <c r="AB14" i="5"/>
  <c r="AC14" i="5"/>
  <c r="X14" i="5"/>
  <c r="W14" i="5"/>
  <c r="V14" i="5"/>
  <c r="S14" i="5"/>
  <c r="R14" i="5"/>
  <c r="O14" i="5"/>
  <c r="N14" i="5"/>
  <c r="M14" i="5"/>
  <c r="G14" i="5"/>
  <c r="H14" i="5"/>
  <c r="I14" i="5"/>
  <c r="J14" i="5"/>
  <c r="F14" i="5"/>
  <c r="K4" i="6" l="1"/>
  <c r="J4" i="6"/>
  <c r="T51" i="6" l="1"/>
  <c r="AD51" i="6"/>
  <c r="Y50" i="6"/>
  <c r="AB115" i="6" l="1"/>
  <c r="AD114" i="6" l="1"/>
  <c r="AD115" i="6" s="1"/>
  <c r="W116" i="6"/>
  <c r="W117" i="6" s="1"/>
  <c r="W118" i="6" s="1"/>
  <c r="AC115" i="6"/>
  <c r="AB113" i="6" s="1"/>
  <c r="AH100" i="6" l="1"/>
  <c r="AH101" i="6" s="1"/>
  <c r="AH102" i="6" s="1"/>
  <c r="P67" i="6" l="1"/>
  <c r="AC4" i="5" l="1"/>
  <c r="C105" i="15" l="1"/>
  <c r="C103" i="15"/>
  <c r="C103" i="14"/>
  <c r="C103" i="13"/>
  <c r="C103" i="12"/>
  <c r="C103" i="11"/>
  <c r="C103" i="10"/>
  <c r="C103" i="9"/>
  <c r="C103" i="8"/>
  <c r="C103" i="7"/>
  <c r="C103" i="6" l="1"/>
  <c r="AC29" i="4" l="1"/>
  <c r="AB29" i="4"/>
  <c r="AA29" i="4"/>
  <c r="X29" i="4"/>
  <c r="W29" i="4"/>
  <c r="V29" i="4"/>
  <c r="T29" i="4"/>
  <c r="S29" i="4"/>
  <c r="O29" i="4"/>
  <c r="N29" i="4"/>
  <c r="M29" i="4"/>
  <c r="J29" i="4"/>
  <c r="I29" i="4"/>
  <c r="H29" i="4"/>
  <c r="G29" i="4"/>
  <c r="F29" i="4"/>
  <c r="C29" i="4"/>
  <c r="AC29" i="5"/>
  <c r="AB29" i="5"/>
  <c r="AA29" i="5"/>
  <c r="X29" i="5"/>
  <c r="W29" i="5"/>
  <c r="V29" i="5"/>
  <c r="T29" i="5"/>
  <c r="S29" i="5"/>
  <c r="O29" i="5"/>
  <c r="N29" i="5"/>
  <c r="M29" i="5"/>
  <c r="J29" i="5"/>
  <c r="I29" i="5"/>
  <c r="H29" i="5"/>
  <c r="G29" i="5"/>
  <c r="F29" i="5"/>
  <c r="C29" i="5"/>
  <c r="O97" i="15"/>
  <c r="O97" i="14"/>
  <c r="N97" i="14"/>
  <c r="D97" i="14"/>
  <c r="O97" i="13"/>
  <c r="N97" i="13"/>
  <c r="D97" i="13"/>
  <c r="O97" i="12"/>
  <c r="N97" i="12"/>
  <c r="D97" i="12"/>
  <c r="O97" i="11"/>
  <c r="N97" i="11"/>
  <c r="D97" i="11"/>
  <c r="O97" i="10"/>
  <c r="D97" i="10"/>
  <c r="O97" i="9"/>
  <c r="O97" i="8"/>
  <c r="P92" i="15"/>
  <c r="K92" i="15"/>
  <c r="P92" i="14"/>
  <c r="K92" i="14"/>
  <c r="K103" i="14" s="1"/>
  <c r="P92" i="13"/>
  <c r="K92" i="13"/>
  <c r="K103" i="13" s="1"/>
  <c r="P92" i="12"/>
  <c r="K92" i="12"/>
  <c r="K103" i="12" s="1"/>
  <c r="P92" i="11"/>
  <c r="K92" i="11"/>
  <c r="K103" i="11" s="1"/>
  <c r="P92" i="10"/>
  <c r="K92" i="10"/>
  <c r="K103" i="10" s="1"/>
  <c r="P92" i="9"/>
  <c r="K92" i="9"/>
  <c r="K103" i="9" s="1"/>
  <c r="P92" i="8"/>
  <c r="K92" i="8"/>
  <c r="K103" i="8" s="1"/>
  <c r="AC29" i="15"/>
  <c r="AB29" i="15"/>
  <c r="AA29" i="15"/>
  <c r="X29" i="15"/>
  <c r="W29" i="15"/>
  <c r="V29" i="15"/>
  <c r="T29" i="15"/>
  <c r="O29" i="15"/>
  <c r="N29" i="15"/>
  <c r="M29" i="15"/>
  <c r="J29" i="15"/>
  <c r="I29" i="15"/>
  <c r="H29" i="15"/>
  <c r="G29" i="15"/>
  <c r="F29" i="15"/>
  <c r="C29" i="15"/>
  <c r="AC29" i="14"/>
  <c r="AB29" i="14"/>
  <c r="AA29" i="14"/>
  <c r="X29" i="14"/>
  <c r="W29" i="14"/>
  <c r="V29" i="14"/>
  <c r="T29" i="14"/>
  <c r="O29" i="14"/>
  <c r="N29" i="14"/>
  <c r="M29" i="14"/>
  <c r="K29" i="14"/>
  <c r="J29" i="14"/>
  <c r="I29" i="14"/>
  <c r="H29" i="14"/>
  <c r="G29" i="14"/>
  <c r="F29" i="14"/>
  <c r="C29" i="14"/>
  <c r="AC29" i="13"/>
  <c r="AB29" i="13"/>
  <c r="AA29" i="13"/>
  <c r="X29" i="13"/>
  <c r="W29" i="13"/>
  <c r="V29" i="13"/>
  <c r="T29" i="13"/>
  <c r="O29" i="13"/>
  <c r="N29" i="13"/>
  <c r="M29" i="13"/>
  <c r="K29" i="13"/>
  <c r="J29" i="13"/>
  <c r="I29" i="13"/>
  <c r="H29" i="13"/>
  <c r="G29" i="13"/>
  <c r="F29" i="13"/>
  <c r="C29" i="13"/>
  <c r="AC29" i="12"/>
  <c r="AB29" i="12"/>
  <c r="AA29" i="12"/>
  <c r="X29" i="12"/>
  <c r="W29" i="12"/>
  <c r="V29" i="12"/>
  <c r="T29" i="12"/>
  <c r="O29" i="12"/>
  <c r="N29" i="12"/>
  <c r="M29" i="12"/>
  <c r="K29" i="12"/>
  <c r="J29" i="12"/>
  <c r="I29" i="12"/>
  <c r="H29" i="12"/>
  <c r="G29" i="12"/>
  <c r="F29" i="12"/>
  <c r="C29" i="12"/>
  <c r="AC29" i="11"/>
  <c r="AB29" i="11"/>
  <c r="AA29" i="11"/>
  <c r="X29" i="11"/>
  <c r="W29" i="11"/>
  <c r="V29" i="11"/>
  <c r="T29" i="11"/>
  <c r="O29" i="11"/>
  <c r="N29" i="11"/>
  <c r="M29" i="11"/>
  <c r="K29" i="11"/>
  <c r="J29" i="11"/>
  <c r="I29" i="11"/>
  <c r="H29" i="11"/>
  <c r="G29" i="11"/>
  <c r="F29" i="11"/>
  <c r="C29" i="11"/>
  <c r="AC29" i="10"/>
  <c r="AB29" i="10"/>
  <c r="AA29" i="10"/>
  <c r="X29" i="10"/>
  <c r="W29" i="10"/>
  <c r="V29" i="10"/>
  <c r="T29" i="10"/>
  <c r="O29" i="10"/>
  <c r="N29" i="10"/>
  <c r="M29" i="10"/>
  <c r="K29" i="10"/>
  <c r="J29" i="10"/>
  <c r="I29" i="10"/>
  <c r="H29" i="10"/>
  <c r="G29" i="10"/>
  <c r="F29" i="10"/>
  <c r="C29" i="10"/>
  <c r="AC29" i="9"/>
  <c r="AB29" i="9"/>
  <c r="AA29" i="9"/>
  <c r="X29" i="9"/>
  <c r="W29" i="9"/>
  <c r="V29" i="9"/>
  <c r="T29" i="9"/>
  <c r="O29" i="9"/>
  <c r="N29" i="9"/>
  <c r="M29" i="9"/>
  <c r="K29" i="9"/>
  <c r="J29" i="9"/>
  <c r="I29" i="9"/>
  <c r="H29" i="9"/>
  <c r="G29" i="9"/>
  <c r="F29" i="9"/>
  <c r="C29" i="9"/>
  <c r="AC29" i="8"/>
  <c r="AB29" i="8"/>
  <c r="AA29" i="8"/>
  <c r="X29" i="8"/>
  <c r="W29" i="8"/>
  <c r="V29" i="8"/>
  <c r="O29" i="8"/>
  <c r="N29" i="8"/>
  <c r="M29" i="8"/>
  <c r="J29" i="8"/>
  <c r="I29" i="8"/>
  <c r="H29" i="8"/>
  <c r="G29" i="8"/>
  <c r="F29" i="8"/>
  <c r="T29" i="8"/>
  <c r="K29" i="8"/>
  <c r="C29" i="8"/>
  <c r="T29" i="7"/>
  <c r="C29" i="7"/>
  <c r="O97" i="7"/>
  <c r="N97" i="7"/>
  <c r="P92" i="7"/>
  <c r="C111" i="15"/>
  <c r="C110" i="15"/>
  <c r="C108" i="15"/>
  <c r="C107" i="15"/>
  <c r="C104" i="15"/>
  <c r="C102" i="15"/>
  <c r="C100" i="15"/>
  <c r="C96" i="15"/>
  <c r="C95" i="15"/>
  <c r="C111" i="14"/>
  <c r="C110" i="14"/>
  <c r="C108" i="14"/>
  <c r="C107" i="14"/>
  <c r="C104" i="14"/>
  <c r="C102" i="14"/>
  <c r="C100" i="14"/>
  <c r="C96" i="14"/>
  <c r="C95" i="14"/>
  <c r="C111" i="13"/>
  <c r="C110" i="13"/>
  <c r="C108" i="13"/>
  <c r="C107" i="13"/>
  <c r="C104" i="13"/>
  <c r="C102" i="13"/>
  <c r="C100" i="13"/>
  <c r="C96" i="13"/>
  <c r="C95" i="13"/>
  <c r="C111" i="12"/>
  <c r="C110" i="12"/>
  <c r="C108" i="12"/>
  <c r="C107" i="12"/>
  <c r="C104" i="12"/>
  <c r="C102" i="12"/>
  <c r="C100" i="12"/>
  <c r="C96" i="12"/>
  <c r="C95" i="12"/>
  <c r="C111" i="11"/>
  <c r="C110" i="11"/>
  <c r="C108" i="11"/>
  <c r="C107" i="11"/>
  <c r="C104" i="11"/>
  <c r="C102" i="11"/>
  <c r="C101" i="11"/>
  <c r="C100" i="11"/>
  <c r="C96" i="11"/>
  <c r="C95" i="11"/>
  <c r="C111" i="10"/>
  <c r="C110" i="10"/>
  <c r="C108" i="10"/>
  <c r="C107" i="10"/>
  <c r="C104" i="10"/>
  <c r="C102" i="10"/>
  <c r="C101" i="10"/>
  <c r="C100" i="10"/>
  <c r="C96" i="10"/>
  <c r="C95" i="10"/>
  <c r="C111" i="9"/>
  <c r="C110" i="9"/>
  <c r="C108" i="9"/>
  <c r="C107" i="9"/>
  <c r="C104" i="9"/>
  <c r="C102" i="9"/>
  <c r="C100" i="9"/>
  <c r="C96" i="9"/>
  <c r="C95" i="9"/>
  <c r="C111" i="8"/>
  <c r="C110" i="8"/>
  <c r="C108" i="8"/>
  <c r="C107" i="8"/>
  <c r="C104" i="8"/>
  <c r="C102" i="8"/>
  <c r="C101" i="8"/>
  <c r="C100" i="8"/>
  <c r="C96" i="8"/>
  <c r="C95" i="8"/>
  <c r="C111" i="7"/>
  <c r="C110" i="7"/>
  <c r="C108" i="7"/>
  <c r="C107" i="7"/>
  <c r="C104" i="7"/>
  <c r="C102" i="7"/>
  <c r="C101" i="7"/>
  <c r="C100" i="7"/>
  <c r="C96" i="7"/>
  <c r="C95" i="7"/>
  <c r="S29" i="6"/>
  <c r="T29" i="6"/>
  <c r="C29" i="6"/>
  <c r="O97" i="6"/>
  <c r="N97" i="6"/>
  <c r="P92" i="6"/>
  <c r="K103" i="15" l="1"/>
  <c r="D97" i="15"/>
  <c r="N97" i="15"/>
  <c r="N97" i="10"/>
  <c r="D97" i="9"/>
  <c r="N97" i="9"/>
  <c r="D97" i="8"/>
  <c r="N97" i="8"/>
  <c r="K29" i="15"/>
  <c r="C76" i="15" l="1"/>
  <c r="C75" i="15"/>
  <c r="C76" i="14"/>
  <c r="C75" i="14"/>
  <c r="C76" i="13"/>
  <c r="C75" i="13"/>
  <c r="C76" i="12"/>
  <c r="C75" i="12"/>
  <c r="C76" i="11"/>
  <c r="C75" i="11"/>
  <c r="AD76" i="10"/>
  <c r="AD75" i="10"/>
  <c r="T76" i="10"/>
  <c r="T75" i="10"/>
  <c r="C76" i="10"/>
  <c r="C75" i="10"/>
  <c r="AD76" i="9"/>
  <c r="AD75" i="9"/>
  <c r="T76" i="9"/>
  <c r="T75" i="9"/>
  <c r="C76" i="9"/>
  <c r="C75" i="9"/>
  <c r="C76" i="8"/>
  <c r="C75" i="8"/>
  <c r="C76" i="7"/>
  <c r="C75" i="7"/>
  <c r="C48" i="15" l="1"/>
  <c r="C109" i="15" s="1"/>
  <c r="C48" i="14"/>
  <c r="C109" i="14" s="1"/>
  <c r="C48" i="13"/>
  <c r="C109" i="13" s="1"/>
  <c r="C48" i="12"/>
  <c r="C109" i="12" s="1"/>
  <c r="C48" i="11"/>
  <c r="C109" i="11" s="1"/>
  <c r="AD48" i="10"/>
  <c r="T48" i="10"/>
  <c r="C48" i="10"/>
  <c r="C109" i="10" s="1"/>
  <c r="AD48" i="9"/>
  <c r="T48" i="9"/>
  <c r="C48" i="9"/>
  <c r="C109" i="9" s="1"/>
  <c r="C48" i="8"/>
  <c r="C48" i="7"/>
  <c r="C93" i="7" l="1"/>
  <c r="C109" i="7"/>
  <c r="C109" i="8"/>
  <c r="J4" i="5"/>
  <c r="H4" i="5" l="1"/>
  <c r="G4" i="5"/>
  <c r="P70" i="5" l="1"/>
  <c r="AD70" i="5"/>
  <c r="K70" i="5"/>
  <c r="Y50" i="5"/>
  <c r="D97" i="5" l="1"/>
  <c r="D98" i="5"/>
  <c r="D105" i="5"/>
  <c r="D106" i="5"/>
  <c r="AD54" i="5" l="1"/>
  <c r="P54" i="5"/>
  <c r="R110" i="4" l="1"/>
  <c r="S109" i="4"/>
  <c r="R108" i="4"/>
  <c r="R107" i="4"/>
  <c r="R104" i="4"/>
  <c r="R103" i="4"/>
  <c r="R102" i="4"/>
  <c r="R101" i="4"/>
  <c r="R100" i="4"/>
  <c r="R99" i="4"/>
  <c r="R96" i="4"/>
  <c r="R95" i="4"/>
  <c r="AD22" i="15"/>
  <c r="AD21" i="15"/>
  <c r="AD22" i="14"/>
  <c r="AD21" i="14"/>
  <c r="AD22" i="13"/>
  <c r="AD21" i="13"/>
  <c r="AD22" i="12"/>
  <c r="AD21" i="12"/>
  <c r="AD22" i="11"/>
  <c r="AD21" i="11"/>
  <c r="AD22" i="10"/>
  <c r="AD21" i="10"/>
  <c r="AD22" i="9"/>
  <c r="AD21" i="9"/>
  <c r="R110" i="15"/>
  <c r="R108" i="15"/>
  <c r="R107" i="15"/>
  <c r="R104" i="15"/>
  <c r="R103" i="15"/>
  <c r="R102" i="15"/>
  <c r="R101" i="15"/>
  <c r="R100" i="15"/>
  <c r="R99" i="15"/>
  <c r="R96" i="15"/>
  <c r="R95" i="15"/>
  <c r="R110" i="14"/>
  <c r="R108" i="14"/>
  <c r="R107" i="14"/>
  <c r="R104" i="14"/>
  <c r="R103" i="14"/>
  <c r="R102" i="14"/>
  <c r="R101" i="14"/>
  <c r="R100" i="14"/>
  <c r="R99" i="14"/>
  <c r="R96" i="14"/>
  <c r="R95" i="14"/>
  <c r="R110" i="13"/>
  <c r="R108" i="13"/>
  <c r="R107" i="13"/>
  <c r="R104" i="13"/>
  <c r="R103" i="13"/>
  <c r="R102" i="13"/>
  <c r="R101" i="13"/>
  <c r="R100" i="13"/>
  <c r="R99" i="13"/>
  <c r="R96" i="13"/>
  <c r="R95" i="13"/>
  <c r="R110" i="12"/>
  <c r="R108" i="12"/>
  <c r="R107" i="12"/>
  <c r="R104" i="12"/>
  <c r="R103" i="12"/>
  <c r="R102" i="12"/>
  <c r="R101" i="12"/>
  <c r="R100" i="12"/>
  <c r="R99" i="12"/>
  <c r="R96" i="12"/>
  <c r="R95" i="12"/>
  <c r="R110" i="11"/>
  <c r="R108" i="11"/>
  <c r="R107" i="11"/>
  <c r="R104" i="11"/>
  <c r="R103" i="11"/>
  <c r="R102" i="11"/>
  <c r="R101" i="11"/>
  <c r="R100" i="11"/>
  <c r="R99" i="11"/>
  <c r="R96" i="11"/>
  <c r="R95" i="11"/>
  <c r="R110" i="10"/>
  <c r="R108" i="10"/>
  <c r="R107" i="10"/>
  <c r="R104" i="10"/>
  <c r="R103" i="10"/>
  <c r="R102" i="10"/>
  <c r="R101" i="10"/>
  <c r="R100" i="10"/>
  <c r="R99" i="10"/>
  <c r="R96" i="10"/>
  <c r="R95" i="10"/>
  <c r="R110" i="9"/>
  <c r="R108" i="9"/>
  <c r="R107" i="9"/>
  <c r="R104" i="9"/>
  <c r="R103" i="9"/>
  <c r="R102" i="9"/>
  <c r="R101" i="9"/>
  <c r="R100" i="9"/>
  <c r="R99" i="9"/>
  <c r="R96" i="9"/>
  <c r="R95" i="9"/>
  <c r="T83" i="15"/>
  <c r="T52" i="15"/>
  <c r="T49" i="15"/>
  <c r="T83" i="14"/>
  <c r="T52" i="14"/>
  <c r="T49" i="14"/>
  <c r="T83" i="13"/>
  <c r="T52" i="13"/>
  <c r="T49" i="13"/>
  <c r="T83" i="12"/>
  <c r="T52" i="12"/>
  <c r="T49" i="12"/>
  <c r="T83" i="11"/>
  <c r="T52" i="11"/>
  <c r="T49" i="11"/>
  <c r="T83" i="10"/>
  <c r="T109" i="10" s="1"/>
  <c r="T52" i="10"/>
  <c r="T49" i="10"/>
  <c r="T83" i="9"/>
  <c r="T49" i="9"/>
  <c r="AD22" i="8"/>
  <c r="AD21" i="8"/>
  <c r="R110" i="8"/>
  <c r="R108" i="8"/>
  <c r="R107" i="8"/>
  <c r="R104" i="8"/>
  <c r="R103" i="8"/>
  <c r="R102" i="8"/>
  <c r="R101" i="8"/>
  <c r="R100" i="8"/>
  <c r="R99" i="8"/>
  <c r="R96" i="8"/>
  <c r="R95" i="8"/>
  <c r="T83" i="8"/>
  <c r="T49" i="8"/>
  <c r="T23" i="15"/>
  <c r="T22" i="15"/>
  <c r="T21" i="15"/>
  <c r="T20" i="15"/>
  <c r="T19" i="15"/>
  <c r="S15" i="15"/>
  <c r="R15" i="15"/>
  <c r="T23" i="14"/>
  <c r="T22" i="14"/>
  <c r="T21" i="14"/>
  <c r="T20" i="14"/>
  <c r="T19" i="14"/>
  <c r="S15" i="14"/>
  <c r="R15" i="14"/>
  <c r="T23" i="13"/>
  <c r="T22" i="13"/>
  <c r="T21" i="13"/>
  <c r="T20" i="13"/>
  <c r="T19" i="13"/>
  <c r="S15" i="13"/>
  <c r="R15" i="13"/>
  <c r="R17" i="13" s="1"/>
  <c r="T23" i="12"/>
  <c r="T22" i="12"/>
  <c r="T21" i="12"/>
  <c r="T20" i="12"/>
  <c r="T19" i="12"/>
  <c r="S15" i="12"/>
  <c r="R15" i="12"/>
  <c r="T23" i="11"/>
  <c r="T22" i="11"/>
  <c r="T21" i="11"/>
  <c r="T20" i="11"/>
  <c r="T19" i="11"/>
  <c r="S15" i="11"/>
  <c r="R15" i="11"/>
  <c r="R17" i="11" s="1"/>
  <c r="T23" i="10"/>
  <c r="T22" i="10"/>
  <c r="T21" i="10"/>
  <c r="T20" i="10"/>
  <c r="T19" i="10"/>
  <c r="S15" i="10"/>
  <c r="R15" i="10"/>
  <c r="T23" i="9"/>
  <c r="T22" i="9"/>
  <c r="T21" i="9"/>
  <c r="T20" i="9"/>
  <c r="T19" i="9"/>
  <c r="S15" i="9"/>
  <c r="R15" i="9"/>
  <c r="T23" i="8"/>
  <c r="T22" i="8"/>
  <c r="T21" i="8"/>
  <c r="T20" i="8"/>
  <c r="T19" i="8"/>
  <c r="S15" i="8"/>
  <c r="R10" i="15"/>
  <c r="S10" i="15"/>
  <c r="R10" i="14"/>
  <c r="S10" i="14"/>
  <c r="R10" i="13"/>
  <c r="S10" i="13"/>
  <c r="R10" i="12"/>
  <c r="S10" i="12"/>
  <c r="R10" i="11"/>
  <c r="S10" i="11"/>
  <c r="R10" i="10"/>
  <c r="S10" i="10"/>
  <c r="R10" i="9"/>
  <c r="S10" i="9"/>
  <c r="S8" i="8"/>
  <c r="S10" i="8" s="1"/>
  <c r="S17" i="8" s="1"/>
  <c r="S25" i="8" s="1"/>
  <c r="T25" i="8" s="1"/>
  <c r="R8" i="8"/>
  <c r="R10" i="8" s="1"/>
  <c r="T10" i="8" s="1"/>
  <c r="AD22" i="7"/>
  <c r="AD21" i="7"/>
  <c r="R110" i="7"/>
  <c r="R108" i="7"/>
  <c r="R107" i="7"/>
  <c r="R104" i="7"/>
  <c r="R103" i="7"/>
  <c r="R102" i="7"/>
  <c r="R101" i="7"/>
  <c r="R100" i="7"/>
  <c r="R99" i="7"/>
  <c r="R96" i="7"/>
  <c r="R95" i="7"/>
  <c r="T83" i="7"/>
  <c r="T52" i="7"/>
  <c r="T49" i="7"/>
  <c r="T23" i="7"/>
  <c r="T22" i="7"/>
  <c r="T21" i="7"/>
  <c r="T20" i="7"/>
  <c r="T19" i="7"/>
  <c r="S15" i="7"/>
  <c r="R15" i="7"/>
  <c r="S8" i="7"/>
  <c r="S10" i="7" s="1"/>
  <c r="R8" i="7"/>
  <c r="R10" i="7" s="1"/>
  <c r="AD22" i="6"/>
  <c r="AD21" i="6"/>
  <c r="R110" i="6"/>
  <c r="R108" i="6"/>
  <c r="R107" i="6"/>
  <c r="R104" i="6"/>
  <c r="R103" i="6"/>
  <c r="R102" i="6"/>
  <c r="R101" i="6"/>
  <c r="R100" i="6"/>
  <c r="R99" i="6"/>
  <c r="R96" i="6"/>
  <c r="R95" i="6"/>
  <c r="T83" i="6"/>
  <c r="T52" i="6"/>
  <c r="T49" i="6"/>
  <c r="T36" i="6" s="1"/>
  <c r="T23" i="6"/>
  <c r="T22" i="6"/>
  <c r="T21" i="6"/>
  <c r="T20" i="6"/>
  <c r="T19" i="6"/>
  <c r="S15" i="6"/>
  <c r="S8" i="6"/>
  <c r="S10" i="6" s="1"/>
  <c r="R8" i="6"/>
  <c r="R10" i="6" s="1"/>
  <c r="T19" i="5"/>
  <c r="T20" i="5"/>
  <c r="T21" i="5"/>
  <c r="T22" i="5"/>
  <c r="T23" i="5"/>
  <c r="S15" i="5"/>
  <c r="S8" i="5"/>
  <c r="S10" i="5" s="1"/>
  <c r="R8" i="5"/>
  <c r="R10" i="5" s="1"/>
  <c r="T10" i="12" l="1"/>
  <c r="T10" i="15"/>
  <c r="T36" i="11"/>
  <c r="S109" i="11" s="1"/>
  <c r="T36" i="14"/>
  <c r="S109" i="14" s="1"/>
  <c r="T36" i="10"/>
  <c r="S109" i="10" s="1"/>
  <c r="T36" i="13"/>
  <c r="S109" i="13" s="1"/>
  <c r="T10" i="14"/>
  <c r="S17" i="11"/>
  <c r="S25" i="11" s="1"/>
  <c r="T25" i="11" s="1"/>
  <c r="T36" i="12"/>
  <c r="S109" i="12" s="1"/>
  <c r="T36" i="7"/>
  <c r="T36" i="15"/>
  <c r="S109" i="15" s="1"/>
  <c r="R17" i="15"/>
  <c r="S17" i="15"/>
  <c r="S25" i="15" s="1"/>
  <c r="T25" i="15" s="1"/>
  <c r="R17" i="14"/>
  <c r="S17" i="14"/>
  <c r="S25" i="14" s="1"/>
  <c r="T25" i="14" s="1"/>
  <c r="S17" i="13"/>
  <c r="T17" i="13" s="1"/>
  <c r="T10" i="13"/>
  <c r="R17" i="12"/>
  <c r="R24" i="12" s="1"/>
  <c r="T24" i="12" s="1"/>
  <c r="S17" i="12"/>
  <c r="T10" i="11"/>
  <c r="S40" i="11"/>
  <c r="R17" i="10"/>
  <c r="R24" i="10" s="1"/>
  <c r="T24" i="10" s="1"/>
  <c r="S17" i="10"/>
  <c r="S25" i="10" s="1"/>
  <c r="T25" i="10" s="1"/>
  <c r="R17" i="9"/>
  <c r="R24" i="9" s="1"/>
  <c r="T24" i="9" s="1"/>
  <c r="T10" i="9"/>
  <c r="S17" i="9"/>
  <c r="S25" i="9" s="1"/>
  <c r="T25" i="9" s="1"/>
  <c r="T109" i="9"/>
  <c r="T36" i="9"/>
  <c r="S109" i="9" s="1"/>
  <c r="T36" i="8"/>
  <c r="T10" i="7"/>
  <c r="R17" i="7"/>
  <c r="R24" i="7" s="1"/>
  <c r="T24" i="7" s="1"/>
  <c r="S17" i="7"/>
  <c r="S25" i="7" s="1"/>
  <c r="T25" i="7" s="1"/>
  <c r="S17" i="6"/>
  <c r="T10" i="5"/>
  <c r="S17" i="5"/>
  <c r="R24" i="15"/>
  <c r="T24" i="15" s="1"/>
  <c r="R24" i="13"/>
  <c r="T24" i="13" s="1"/>
  <c r="T17" i="11"/>
  <c r="R24" i="11"/>
  <c r="T24" i="11" s="1"/>
  <c r="T10" i="10"/>
  <c r="T8" i="9"/>
  <c r="T8" i="8"/>
  <c r="T8" i="7"/>
  <c r="T10" i="6"/>
  <c r="T8" i="6"/>
  <c r="T8" i="5"/>
  <c r="T4" i="5" s="1"/>
  <c r="T17" i="15" l="1"/>
  <c r="T17" i="12"/>
  <c r="T17" i="14"/>
  <c r="T17" i="10"/>
  <c r="S40" i="15"/>
  <c r="R24" i="14"/>
  <c r="T24" i="14" s="1"/>
  <c r="S40" i="14"/>
  <c r="S25" i="13"/>
  <c r="T25" i="13" s="1"/>
  <c r="S40" i="13"/>
  <c r="S25" i="12"/>
  <c r="T25" i="12" s="1"/>
  <c r="S40" i="12"/>
  <c r="S40" i="10"/>
  <c r="S40" i="9"/>
  <c r="T17" i="9"/>
  <c r="T17" i="7"/>
  <c r="S25" i="6"/>
  <c r="T25" i="6" s="1"/>
  <c r="S25" i="5"/>
  <c r="T25" i="5" s="1"/>
  <c r="T20" i="4"/>
  <c r="T21" i="4"/>
  <c r="T22" i="4"/>
  <c r="T23" i="4"/>
  <c r="T19" i="4"/>
  <c r="S8" i="4"/>
  <c r="S10" i="4" l="1"/>
  <c r="S17" i="4" s="1"/>
  <c r="S15" i="4"/>
  <c r="S25" i="4" l="1"/>
  <c r="T25" i="4" s="1"/>
  <c r="S40" i="4"/>
  <c r="T83" i="5"/>
  <c r="T52" i="5"/>
  <c r="T49" i="5"/>
  <c r="T36" i="5" s="1"/>
  <c r="S109" i="5" s="1"/>
  <c r="S40" i="5" s="1"/>
  <c r="C66" i="5"/>
  <c r="N4" i="5"/>
  <c r="P53" i="4" l="1"/>
  <c r="K53" i="4"/>
  <c r="P54" i="4"/>
  <c r="K54" i="4"/>
  <c r="K64" i="4"/>
  <c r="Y64" i="5" l="1"/>
  <c r="K64" i="5"/>
  <c r="C64" i="6" l="1"/>
  <c r="P70" i="6"/>
  <c r="AD70" i="6"/>
  <c r="C65" i="6"/>
  <c r="C54" i="6"/>
  <c r="C65" i="5"/>
  <c r="C31" i="5" s="1"/>
  <c r="P53" i="5"/>
  <c r="Y53" i="5"/>
  <c r="AD54" i="6" l="1"/>
  <c r="P54" i="6"/>
  <c r="AD70" i="4"/>
  <c r="P70" i="4"/>
  <c r="C66" i="4" l="1"/>
  <c r="AD66" i="4" l="1"/>
  <c r="T66" i="4"/>
  <c r="AD39" i="15" l="1"/>
  <c r="AC39" i="15"/>
  <c r="AB39" i="15"/>
  <c r="AA39" i="15"/>
  <c r="Y39" i="15"/>
  <c r="X39" i="15"/>
  <c r="W39" i="15"/>
  <c r="V39" i="15"/>
  <c r="T39" i="15"/>
  <c r="P39" i="15"/>
  <c r="O39" i="15"/>
  <c r="N39" i="15"/>
  <c r="M39" i="15"/>
  <c r="J39" i="15"/>
  <c r="I39" i="15"/>
  <c r="H39" i="15"/>
  <c r="G39" i="15"/>
  <c r="F39" i="15"/>
  <c r="C39" i="15"/>
  <c r="D79" i="15"/>
  <c r="K78" i="15"/>
  <c r="K79" i="15"/>
  <c r="K80" i="15"/>
  <c r="D80" i="15" s="1"/>
  <c r="P111" i="15"/>
  <c r="P111" i="14"/>
  <c r="K78" i="14"/>
  <c r="D78" i="14" s="1"/>
  <c r="K79" i="14"/>
  <c r="D79" i="14" s="1"/>
  <c r="K80" i="14"/>
  <c r="D80" i="14"/>
  <c r="AD39" i="14"/>
  <c r="AC39" i="14"/>
  <c r="AB39" i="14"/>
  <c r="AA39" i="14"/>
  <c r="Y39" i="14"/>
  <c r="X39" i="14"/>
  <c r="W39" i="14"/>
  <c r="V39" i="14"/>
  <c r="T39" i="14"/>
  <c r="P39" i="14"/>
  <c r="O39" i="14"/>
  <c r="N39" i="14"/>
  <c r="M39" i="14"/>
  <c r="J39" i="14"/>
  <c r="I39" i="14"/>
  <c r="H39" i="14"/>
  <c r="G39" i="14"/>
  <c r="F39" i="14"/>
  <c r="C39" i="14"/>
  <c r="AD39" i="13"/>
  <c r="AC39" i="13"/>
  <c r="AB39" i="13"/>
  <c r="AA39" i="13"/>
  <c r="Y39" i="13"/>
  <c r="X39" i="13"/>
  <c r="W39" i="13"/>
  <c r="V39" i="13"/>
  <c r="T39" i="13"/>
  <c r="P39" i="13"/>
  <c r="O39" i="13"/>
  <c r="N39" i="13"/>
  <c r="M39" i="13"/>
  <c r="J39" i="13"/>
  <c r="I39" i="13"/>
  <c r="H39" i="13"/>
  <c r="G39" i="13"/>
  <c r="F39" i="13"/>
  <c r="C39" i="13"/>
  <c r="P111" i="13"/>
  <c r="D80" i="13"/>
  <c r="K78" i="13"/>
  <c r="D78" i="13" s="1"/>
  <c r="K79" i="13"/>
  <c r="D79" i="13" s="1"/>
  <c r="K80" i="13"/>
  <c r="K81" i="13"/>
  <c r="AD39" i="12"/>
  <c r="AC39" i="12"/>
  <c r="AB39" i="12"/>
  <c r="AA39" i="12"/>
  <c r="Y39" i="12"/>
  <c r="X39" i="12"/>
  <c r="W39" i="12"/>
  <c r="V39" i="12"/>
  <c r="T39" i="12"/>
  <c r="P39" i="12"/>
  <c r="O39" i="12"/>
  <c r="N39" i="12"/>
  <c r="M39" i="12"/>
  <c r="J39" i="12"/>
  <c r="I39" i="12"/>
  <c r="H39" i="12"/>
  <c r="G39" i="12"/>
  <c r="F39" i="12"/>
  <c r="C39" i="12"/>
  <c r="P111" i="12"/>
  <c r="K78" i="12"/>
  <c r="K79" i="12"/>
  <c r="D79" i="12" s="1"/>
  <c r="K80" i="12"/>
  <c r="D80" i="12" s="1"/>
  <c r="AD39" i="11"/>
  <c r="AC39" i="11"/>
  <c r="AB39" i="11"/>
  <c r="AA39" i="11"/>
  <c r="Y39" i="11"/>
  <c r="X39" i="11"/>
  <c r="W39" i="11"/>
  <c r="V39" i="11"/>
  <c r="T39" i="11"/>
  <c r="P39" i="11"/>
  <c r="O39" i="11"/>
  <c r="N39" i="11"/>
  <c r="M39" i="11"/>
  <c r="J39" i="11"/>
  <c r="I39" i="11"/>
  <c r="H39" i="11"/>
  <c r="G39" i="11"/>
  <c r="F39" i="11"/>
  <c r="C39" i="11"/>
  <c r="P111" i="11"/>
  <c r="K78" i="11"/>
  <c r="K79" i="11"/>
  <c r="D79" i="11" s="1"/>
  <c r="K80" i="11"/>
  <c r="AD39" i="10"/>
  <c r="AC39" i="10"/>
  <c r="AB39" i="10"/>
  <c r="AA39" i="10"/>
  <c r="Y39" i="10"/>
  <c r="X39" i="10"/>
  <c r="W39" i="10"/>
  <c r="V39" i="10"/>
  <c r="T39" i="10"/>
  <c r="P39" i="10"/>
  <c r="O39" i="10"/>
  <c r="N39" i="10"/>
  <c r="M39" i="10"/>
  <c r="J39" i="10"/>
  <c r="I39" i="10"/>
  <c r="H39" i="10"/>
  <c r="G39" i="10"/>
  <c r="F39" i="10"/>
  <c r="C39" i="10"/>
  <c r="P111" i="10"/>
  <c r="K78" i="10"/>
  <c r="D78" i="10" s="1"/>
  <c r="K79" i="10"/>
  <c r="D79" i="10" s="1"/>
  <c r="K80" i="10"/>
  <c r="D80" i="10" s="1"/>
  <c r="AD39" i="9"/>
  <c r="AC39" i="9"/>
  <c r="AB39" i="9"/>
  <c r="AA39" i="9"/>
  <c r="Y39" i="9"/>
  <c r="X39" i="9"/>
  <c r="W39" i="9"/>
  <c r="V39" i="9"/>
  <c r="T39" i="9"/>
  <c r="P39" i="9"/>
  <c r="O39" i="9"/>
  <c r="N39" i="9"/>
  <c r="M39" i="9"/>
  <c r="J39" i="9"/>
  <c r="I39" i="9"/>
  <c r="H39" i="9"/>
  <c r="G39" i="9"/>
  <c r="F39" i="9"/>
  <c r="C39" i="9"/>
  <c r="K78" i="9"/>
  <c r="D78" i="9" s="1"/>
  <c r="K79" i="9"/>
  <c r="D79" i="9" s="1"/>
  <c r="K80" i="9"/>
  <c r="D80" i="9" s="1"/>
  <c r="AD39" i="8"/>
  <c r="AC39" i="8"/>
  <c r="AB39" i="8"/>
  <c r="AA39" i="8"/>
  <c r="Y39" i="8"/>
  <c r="X39" i="8"/>
  <c r="W39" i="8"/>
  <c r="V39" i="8"/>
  <c r="T39" i="8"/>
  <c r="P39" i="8"/>
  <c r="O39" i="8"/>
  <c r="N39" i="8"/>
  <c r="M39" i="8"/>
  <c r="J39" i="8"/>
  <c r="I39" i="8"/>
  <c r="H39" i="8"/>
  <c r="G39" i="8"/>
  <c r="F39" i="8"/>
  <c r="C39" i="8"/>
  <c r="P111" i="8"/>
  <c r="K78" i="8"/>
  <c r="D78" i="8" s="1"/>
  <c r="K79" i="8"/>
  <c r="K80" i="8"/>
  <c r="D80" i="8"/>
  <c r="AD39" i="7"/>
  <c r="AC39" i="7"/>
  <c r="AB39" i="7"/>
  <c r="AA39" i="7"/>
  <c r="Y39" i="7"/>
  <c r="X39" i="7"/>
  <c r="W39" i="7"/>
  <c r="V39" i="7"/>
  <c r="T39" i="7"/>
  <c r="P39" i="7"/>
  <c r="O39" i="7"/>
  <c r="N39" i="7"/>
  <c r="M39" i="7"/>
  <c r="J39" i="7"/>
  <c r="I39" i="7"/>
  <c r="H39" i="7"/>
  <c r="G39" i="7"/>
  <c r="F39" i="7"/>
  <c r="C39" i="7"/>
  <c r="P111" i="7"/>
  <c r="K78" i="7"/>
  <c r="K79" i="7"/>
  <c r="K80" i="7"/>
  <c r="D79" i="7"/>
  <c r="F39" i="6"/>
  <c r="AE39" i="6"/>
  <c r="AD39" i="6"/>
  <c r="AC39" i="6"/>
  <c r="AB39" i="6"/>
  <c r="AA39" i="6"/>
  <c r="Y39" i="6"/>
  <c r="X39" i="6"/>
  <c r="W39" i="6"/>
  <c r="V39" i="6"/>
  <c r="T39" i="6"/>
  <c r="P39" i="6"/>
  <c r="O39" i="6"/>
  <c r="N39" i="6"/>
  <c r="M39" i="6"/>
  <c r="J39" i="6"/>
  <c r="I39" i="6"/>
  <c r="H39" i="6"/>
  <c r="G39" i="6"/>
  <c r="C39" i="6"/>
  <c r="P111" i="6"/>
  <c r="C111" i="6"/>
  <c r="K78" i="6"/>
  <c r="D78" i="6" s="1"/>
  <c r="K79" i="6"/>
  <c r="D79" i="6" s="1"/>
  <c r="K80" i="6"/>
  <c r="D80" i="6" s="1"/>
  <c r="D80" i="11" l="1"/>
  <c r="D79" i="8"/>
  <c r="D78" i="7"/>
  <c r="D80" i="7"/>
  <c r="AD39" i="5"/>
  <c r="AC39" i="5"/>
  <c r="AB39" i="5"/>
  <c r="AA39" i="5"/>
  <c r="Y39" i="5"/>
  <c r="X39" i="5"/>
  <c r="W39" i="5"/>
  <c r="V39" i="5"/>
  <c r="T39" i="5"/>
  <c r="P39" i="5"/>
  <c r="C39" i="5"/>
  <c r="C111" i="5"/>
  <c r="K78" i="5"/>
  <c r="K79" i="5"/>
  <c r="K80" i="5"/>
  <c r="D80" i="5" s="1"/>
  <c r="D79" i="5" l="1"/>
  <c r="C66" i="6"/>
  <c r="C75" i="6" l="1"/>
  <c r="C48" i="6"/>
  <c r="C76" i="6"/>
  <c r="AD66" i="6"/>
  <c r="AD65" i="6"/>
  <c r="C109" i="6" l="1"/>
  <c r="AD76" i="6"/>
  <c r="AD75" i="6"/>
  <c r="AD48" i="6"/>
  <c r="C111" i="4"/>
  <c r="P74" i="15" l="1"/>
  <c r="P73" i="15"/>
  <c r="P72" i="15"/>
  <c r="P71" i="15"/>
  <c r="P74" i="14"/>
  <c r="P73" i="14"/>
  <c r="P72" i="14"/>
  <c r="P71" i="14"/>
  <c r="P74" i="13"/>
  <c r="P73" i="13"/>
  <c r="P72" i="13"/>
  <c r="P71" i="13"/>
  <c r="P74" i="12"/>
  <c r="P73" i="12"/>
  <c r="P72" i="12"/>
  <c r="P71" i="12"/>
  <c r="P74" i="11"/>
  <c r="P73" i="11"/>
  <c r="P72" i="11"/>
  <c r="P71" i="11"/>
  <c r="P74" i="10"/>
  <c r="P73" i="10"/>
  <c r="P72" i="10"/>
  <c r="P71" i="10"/>
  <c r="P74" i="9"/>
  <c r="P73" i="9"/>
  <c r="P72" i="9"/>
  <c r="P71" i="9"/>
  <c r="P74" i="8"/>
  <c r="P73" i="8"/>
  <c r="P72" i="8"/>
  <c r="P71" i="8"/>
  <c r="P74" i="7"/>
  <c r="P73" i="7"/>
  <c r="P72" i="7"/>
  <c r="P71" i="7"/>
  <c r="P74" i="6"/>
  <c r="P73" i="6"/>
  <c r="P72" i="6"/>
  <c r="P71" i="6"/>
  <c r="P74" i="5"/>
  <c r="P73" i="5"/>
  <c r="P72" i="5"/>
  <c r="P71" i="5"/>
  <c r="AD66" i="7" l="1"/>
  <c r="T66" i="6"/>
  <c r="T48" i="6" l="1"/>
  <c r="T109" i="6" s="1"/>
  <c r="T76" i="6"/>
  <c r="T75" i="6"/>
  <c r="AD76" i="7"/>
  <c r="AD75" i="7"/>
  <c r="AD48" i="7"/>
  <c r="T66" i="7"/>
  <c r="T76" i="7" l="1"/>
  <c r="T75" i="7"/>
  <c r="T48" i="7"/>
  <c r="T109" i="7" s="1"/>
  <c r="T66" i="5"/>
  <c r="AD66" i="5" l="1"/>
  <c r="AD66" i="12"/>
  <c r="T66" i="12"/>
  <c r="AD75" i="12" l="1"/>
  <c r="AD76" i="12"/>
  <c r="AD48" i="12"/>
  <c r="T76" i="12"/>
  <c r="T75" i="12"/>
  <c r="T48" i="12"/>
  <c r="AD75" i="11"/>
  <c r="AD76" i="11"/>
  <c r="AD48" i="11"/>
  <c r="AD75" i="8"/>
  <c r="AD76" i="8"/>
  <c r="AD48" i="8"/>
  <c r="T109" i="12" l="1"/>
  <c r="T76" i="11"/>
  <c r="T75" i="11"/>
  <c r="T48" i="11"/>
  <c r="T76" i="8"/>
  <c r="T75" i="8"/>
  <c r="T48" i="8"/>
  <c r="R8" i="4"/>
  <c r="T8" i="4" s="1"/>
  <c r="T109" i="11" l="1"/>
  <c r="T109" i="8"/>
  <c r="AD64" i="15" l="1"/>
  <c r="Y64" i="15"/>
  <c r="K64" i="15"/>
  <c r="P54" i="15"/>
  <c r="K65" i="15"/>
  <c r="AD65" i="15"/>
  <c r="P54" i="14"/>
  <c r="K65" i="14"/>
  <c r="AD65" i="14"/>
  <c r="P54" i="13"/>
  <c r="P54" i="12"/>
  <c r="P53" i="8"/>
  <c r="Y53" i="8"/>
  <c r="G4" i="7"/>
  <c r="H4" i="7" s="1"/>
  <c r="P103" i="8" l="1"/>
  <c r="P29" i="8"/>
  <c r="C67" i="15"/>
  <c r="C101" i="15" s="1"/>
  <c r="C67" i="14"/>
  <c r="C101" i="14" s="1"/>
  <c r="C67" i="13"/>
  <c r="C101" i="13" s="1"/>
  <c r="C67" i="12"/>
  <c r="C101" i="12" s="1"/>
  <c r="AD110" i="15"/>
  <c r="Y110" i="15"/>
  <c r="AD108" i="15"/>
  <c r="Y108" i="15"/>
  <c r="W108" i="15" s="1"/>
  <c r="Y107" i="15"/>
  <c r="P107" i="15"/>
  <c r="N107" i="15" s="1"/>
  <c r="O107" i="15"/>
  <c r="AF106" i="15"/>
  <c r="D106" i="15"/>
  <c r="AF105" i="15"/>
  <c r="D105" i="15"/>
  <c r="AF98" i="15"/>
  <c r="D98" i="15"/>
  <c r="AF97" i="15"/>
  <c r="AD92" i="15"/>
  <c r="Y92" i="15"/>
  <c r="AD90" i="15"/>
  <c r="Y90" i="15"/>
  <c r="P90" i="15"/>
  <c r="K90" i="15"/>
  <c r="AD89" i="15"/>
  <c r="Y89" i="15"/>
  <c r="P89" i="15"/>
  <c r="K89" i="15"/>
  <c r="AD88" i="15"/>
  <c r="D88" i="15" s="1"/>
  <c r="Y88" i="15"/>
  <c r="P88" i="15"/>
  <c r="K88" i="15"/>
  <c r="AD87" i="15"/>
  <c r="Y87" i="15"/>
  <c r="P87" i="15"/>
  <c r="K87" i="15"/>
  <c r="AD86" i="15"/>
  <c r="Y86" i="15"/>
  <c r="P86" i="15"/>
  <c r="K86" i="15"/>
  <c r="AD85" i="15"/>
  <c r="Y85" i="15"/>
  <c r="P85" i="15"/>
  <c r="K85" i="15"/>
  <c r="AD84" i="15"/>
  <c r="Y84" i="15"/>
  <c r="P84" i="15"/>
  <c r="K84" i="15"/>
  <c r="D84" i="15"/>
  <c r="Y83" i="15"/>
  <c r="P83" i="15"/>
  <c r="K83" i="15"/>
  <c r="AD82" i="15"/>
  <c r="Y82" i="15"/>
  <c r="P82" i="15"/>
  <c r="AD81" i="15"/>
  <c r="Y81" i="15"/>
  <c r="P81" i="15"/>
  <c r="K81" i="15"/>
  <c r="D78" i="15"/>
  <c r="K77" i="15"/>
  <c r="K39" i="15" s="1"/>
  <c r="Y76" i="15"/>
  <c r="P76" i="15"/>
  <c r="K76" i="15"/>
  <c r="Y75" i="15"/>
  <c r="P75" i="15"/>
  <c r="K75" i="15"/>
  <c r="P96" i="15"/>
  <c r="AD72" i="15"/>
  <c r="AD37" i="15" s="1"/>
  <c r="AM37" i="15" s="1"/>
  <c r="AT37" i="15" s="1"/>
  <c r="AD71" i="15"/>
  <c r="AD70" i="15"/>
  <c r="Y70" i="15"/>
  <c r="P70" i="15"/>
  <c r="D70" i="15" s="1"/>
  <c r="K70" i="15"/>
  <c r="AD69" i="15"/>
  <c r="AD99" i="15" s="1"/>
  <c r="AC99" i="15" s="1"/>
  <c r="Y69" i="15"/>
  <c r="Y99" i="15" s="1"/>
  <c r="P69" i="15"/>
  <c r="P99" i="15" s="1"/>
  <c r="K69" i="15"/>
  <c r="K99" i="15" s="1"/>
  <c r="AD68" i="15"/>
  <c r="Y68" i="15"/>
  <c r="Y102" i="15" s="1"/>
  <c r="P68" i="15"/>
  <c r="P27" i="15" s="1"/>
  <c r="K68" i="15"/>
  <c r="K102" i="15" s="1"/>
  <c r="AD67" i="15"/>
  <c r="Y67" i="15"/>
  <c r="P67" i="15"/>
  <c r="AD66" i="15"/>
  <c r="Y66" i="15"/>
  <c r="Y35" i="15" s="1"/>
  <c r="AL35" i="15" s="1"/>
  <c r="AS35" i="15" s="1"/>
  <c r="T66" i="15"/>
  <c r="P66" i="15"/>
  <c r="K66" i="15"/>
  <c r="AD107" i="15"/>
  <c r="AC107" i="15" s="1"/>
  <c r="K107" i="15"/>
  <c r="AD63" i="15"/>
  <c r="AD100" i="15" s="1"/>
  <c r="AC100" i="15" s="1"/>
  <c r="Y63" i="15"/>
  <c r="Y100" i="15" s="1"/>
  <c r="P63" i="15"/>
  <c r="P100" i="15" s="1"/>
  <c r="K63" i="15"/>
  <c r="K100" i="15" s="1"/>
  <c r="AD62" i="15"/>
  <c r="Y62" i="15"/>
  <c r="P62" i="15"/>
  <c r="K62" i="15"/>
  <c r="AD61" i="15"/>
  <c r="Y61" i="15"/>
  <c r="P61" i="15"/>
  <c r="K61" i="15"/>
  <c r="AD60" i="15"/>
  <c r="Y60" i="15"/>
  <c r="P60" i="15"/>
  <c r="K60" i="15"/>
  <c r="AD59" i="15"/>
  <c r="Y59" i="15"/>
  <c r="P59" i="15"/>
  <c r="K59" i="15"/>
  <c r="AD58" i="15"/>
  <c r="Y58" i="15"/>
  <c r="P58" i="15"/>
  <c r="K58" i="15"/>
  <c r="AD57" i="15"/>
  <c r="Y57" i="15"/>
  <c r="P57" i="15"/>
  <c r="K57" i="15"/>
  <c r="AD56" i="15"/>
  <c r="Y56" i="15"/>
  <c r="P56" i="15"/>
  <c r="K56" i="15"/>
  <c r="AD55" i="15"/>
  <c r="Y55" i="15"/>
  <c r="Y38" i="15" s="1"/>
  <c r="AL38" i="15" s="1"/>
  <c r="AS38" i="15" s="1"/>
  <c r="P55" i="15"/>
  <c r="P38" i="15" s="1"/>
  <c r="AJ38" i="15" s="1"/>
  <c r="AQ38" i="15" s="1"/>
  <c r="K55" i="15"/>
  <c r="P108" i="15"/>
  <c r="N108" i="15" s="1"/>
  <c r="K108" i="15"/>
  <c r="AD53" i="15"/>
  <c r="Y53" i="15"/>
  <c r="P53" i="15"/>
  <c r="Y52" i="15"/>
  <c r="P52" i="15"/>
  <c r="K52" i="15"/>
  <c r="AD51" i="15"/>
  <c r="Y51" i="15"/>
  <c r="P51" i="15"/>
  <c r="P36" i="15" s="1"/>
  <c r="AJ36" i="15" s="1"/>
  <c r="AQ36" i="15" s="1"/>
  <c r="K51" i="15"/>
  <c r="P50" i="15"/>
  <c r="K50" i="15"/>
  <c r="K110" i="15" s="1"/>
  <c r="K49" i="15"/>
  <c r="Y48" i="15"/>
  <c r="P48" i="15"/>
  <c r="K48" i="15"/>
  <c r="AD47" i="15"/>
  <c r="Y47" i="15"/>
  <c r="Y33" i="15" s="1"/>
  <c r="AL33" i="15" s="1"/>
  <c r="AS33" i="15" s="1"/>
  <c r="P47" i="15"/>
  <c r="K47" i="15"/>
  <c r="K33" i="15" s="1"/>
  <c r="AI33" i="15" s="1"/>
  <c r="AP33" i="15" s="1"/>
  <c r="AD46" i="15"/>
  <c r="Y46" i="15"/>
  <c r="P46" i="15"/>
  <c r="K46" i="15"/>
  <c r="D46" i="15" s="1"/>
  <c r="AD45" i="15"/>
  <c r="Y45" i="15"/>
  <c r="P45" i="15"/>
  <c r="K45" i="15"/>
  <c r="AL39" i="15"/>
  <c r="AS39" i="15" s="1"/>
  <c r="BF39" i="15" s="1"/>
  <c r="AH39" i="15"/>
  <c r="AM39" i="15"/>
  <c r="AT39" i="15" s="1"/>
  <c r="AK39" i="15"/>
  <c r="AR39" i="15" s="1"/>
  <c r="AJ39" i="15"/>
  <c r="AQ39" i="15" s="1"/>
  <c r="AH38" i="15"/>
  <c r="AC38" i="15"/>
  <c r="AB38" i="15"/>
  <c r="AA38" i="15"/>
  <c r="X38" i="15"/>
  <c r="W38" i="15"/>
  <c r="V38" i="15"/>
  <c r="T38" i="15"/>
  <c r="AK38" i="15" s="1"/>
  <c r="AR38" i="15" s="1"/>
  <c r="O38" i="15"/>
  <c r="N38" i="15"/>
  <c r="M38" i="15"/>
  <c r="J38" i="15"/>
  <c r="I38" i="15"/>
  <c r="H38" i="15"/>
  <c r="G38" i="15"/>
  <c r="F38" i="15"/>
  <c r="C38" i="15"/>
  <c r="AH37" i="15"/>
  <c r="AC37" i="15"/>
  <c r="AB37" i="15"/>
  <c r="AA37" i="15"/>
  <c r="X37" i="15"/>
  <c r="W37" i="15"/>
  <c r="V37" i="15"/>
  <c r="T37" i="15"/>
  <c r="AK37" i="15" s="1"/>
  <c r="AR37" i="15" s="1"/>
  <c r="BQ37" i="15" s="1"/>
  <c r="P37" i="15"/>
  <c r="AJ37" i="15" s="1"/>
  <c r="AQ37" i="15" s="1"/>
  <c r="O37" i="15"/>
  <c r="N37" i="15"/>
  <c r="M37" i="15"/>
  <c r="J37" i="15"/>
  <c r="I37" i="15"/>
  <c r="H37" i="15"/>
  <c r="G37" i="15"/>
  <c r="F37" i="15"/>
  <c r="C37" i="15"/>
  <c r="AH36" i="15"/>
  <c r="AK36" i="15"/>
  <c r="AR36" i="15" s="1"/>
  <c r="AH35" i="15"/>
  <c r="AC35" i="15"/>
  <c r="AB35" i="15"/>
  <c r="AA35" i="15"/>
  <c r="X35" i="15"/>
  <c r="W35" i="15"/>
  <c r="V35" i="15"/>
  <c r="P35" i="15"/>
  <c r="AJ35" i="15" s="1"/>
  <c r="AQ35" i="15" s="1"/>
  <c r="O35" i="15"/>
  <c r="N35" i="15"/>
  <c r="M35" i="15"/>
  <c r="J35" i="15"/>
  <c r="I35" i="15"/>
  <c r="H35" i="15"/>
  <c r="G35" i="15"/>
  <c r="F35" i="15"/>
  <c r="AH34" i="15"/>
  <c r="AD34" i="15"/>
  <c r="AM34" i="15" s="1"/>
  <c r="AT34" i="15" s="1"/>
  <c r="AC34" i="15"/>
  <c r="AB34" i="15"/>
  <c r="AA34" i="15"/>
  <c r="Y34" i="15"/>
  <c r="AL34" i="15" s="1"/>
  <c r="AS34" i="15" s="1"/>
  <c r="X34" i="15"/>
  <c r="W34" i="15"/>
  <c r="V34" i="15"/>
  <c r="T34" i="15"/>
  <c r="AK34" i="15" s="1"/>
  <c r="AR34" i="15" s="1"/>
  <c r="O34" i="15"/>
  <c r="N34" i="15"/>
  <c r="M34" i="15"/>
  <c r="J34" i="15"/>
  <c r="I34" i="15"/>
  <c r="H34" i="15"/>
  <c r="G34" i="15"/>
  <c r="F34" i="15"/>
  <c r="C34" i="15"/>
  <c r="AH33" i="15"/>
  <c r="AD33" i="15"/>
  <c r="AM33" i="15" s="1"/>
  <c r="AT33" i="15" s="1"/>
  <c r="AC33" i="15"/>
  <c r="AB33" i="15"/>
  <c r="AA33" i="15"/>
  <c r="X33" i="15"/>
  <c r="W33" i="15"/>
  <c r="V33" i="15"/>
  <c r="T33" i="15"/>
  <c r="AK33" i="15" s="1"/>
  <c r="AR33" i="15" s="1"/>
  <c r="O33" i="15"/>
  <c r="N33" i="15"/>
  <c r="M33" i="15"/>
  <c r="J33" i="15"/>
  <c r="I33" i="15"/>
  <c r="H33" i="15"/>
  <c r="G33" i="15"/>
  <c r="F33" i="15"/>
  <c r="C33" i="15"/>
  <c r="AH32" i="15"/>
  <c r="AC32" i="15"/>
  <c r="AB32" i="15"/>
  <c r="AA32" i="15"/>
  <c r="Y32" i="15"/>
  <c r="AL32" i="15" s="1"/>
  <c r="AS32" i="15" s="1"/>
  <c r="X32" i="15"/>
  <c r="W32" i="15"/>
  <c r="V32" i="15"/>
  <c r="T32" i="15"/>
  <c r="AK32" i="15" s="1"/>
  <c r="AR32" i="15" s="1"/>
  <c r="P32" i="15"/>
  <c r="AJ32" i="15" s="1"/>
  <c r="AQ32" i="15" s="1"/>
  <c r="O32" i="15"/>
  <c r="N32" i="15"/>
  <c r="M32" i="15"/>
  <c r="J32" i="15"/>
  <c r="I32" i="15"/>
  <c r="H32" i="15"/>
  <c r="G32" i="15"/>
  <c r="F32" i="15"/>
  <c r="AH31" i="15"/>
  <c r="AD31" i="15"/>
  <c r="AM31" i="15" s="1"/>
  <c r="AT31" i="15" s="1"/>
  <c r="AC31" i="15"/>
  <c r="AB31" i="15"/>
  <c r="AA31" i="15"/>
  <c r="Y31" i="15"/>
  <c r="AL31" i="15" s="1"/>
  <c r="AS31" i="15" s="1"/>
  <c r="X31" i="15"/>
  <c r="W31" i="15"/>
  <c r="V31" i="15"/>
  <c r="T31" i="15"/>
  <c r="AK31" i="15" s="1"/>
  <c r="AR31" i="15" s="1"/>
  <c r="P31" i="15"/>
  <c r="AJ31" i="15" s="1"/>
  <c r="AQ31" i="15" s="1"/>
  <c r="O31" i="15"/>
  <c r="N31" i="15"/>
  <c r="M31" i="15"/>
  <c r="K31" i="15"/>
  <c r="AI31" i="15" s="1"/>
  <c r="J31" i="15"/>
  <c r="I31" i="15"/>
  <c r="H31" i="15"/>
  <c r="G31" i="15"/>
  <c r="F31" i="15"/>
  <c r="C31" i="15"/>
  <c r="AH30" i="15"/>
  <c r="AD30" i="15"/>
  <c r="AM30" i="15" s="1"/>
  <c r="AT30" i="15" s="1"/>
  <c r="AC30" i="15"/>
  <c r="AB30" i="15"/>
  <c r="AA30" i="15"/>
  <c r="Y30" i="15"/>
  <c r="AL30" i="15" s="1"/>
  <c r="AS30" i="15" s="1"/>
  <c r="X30" i="15"/>
  <c r="W30" i="15"/>
  <c r="V30" i="15"/>
  <c r="T30" i="15"/>
  <c r="AK30" i="15" s="1"/>
  <c r="AR30" i="15" s="1"/>
  <c r="P30" i="15"/>
  <c r="AJ30" i="15" s="1"/>
  <c r="AQ30" i="15" s="1"/>
  <c r="BP30" i="15" s="1"/>
  <c r="O30" i="15"/>
  <c r="N30" i="15"/>
  <c r="M30" i="15"/>
  <c r="K30" i="15"/>
  <c r="AI30" i="15" s="1"/>
  <c r="J30" i="15"/>
  <c r="I30" i="15"/>
  <c r="H30" i="15"/>
  <c r="G30" i="15"/>
  <c r="F30" i="15"/>
  <c r="C30" i="15"/>
  <c r="AH29" i="15"/>
  <c r="AK29" i="15"/>
  <c r="AR29" i="15" s="1"/>
  <c r="BE29" i="15" s="1"/>
  <c r="AI29" i="15"/>
  <c r="AH28" i="15"/>
  <c r="AD28" i="15"/>
  <c r="AM28" i="15" s="1"/>
  <c r="AT28" i="15" s="1"/>
  <c r="AC28" i="15"/>
  <c r="AB28" i="15"/>
  <c r="AA28" i="15"/>
  <c r="Y28" i="15"/>
  <c r="AL28" i="15" s="1"/>
  <c r="AS28" i="15" s="1"/>
  <c r="BF28" i="15" s="1"/>
  <c r="X28" i="15"/>
  <c r="W28" i="15"/>
  <c r="V28" i="15"/>
  <c r="T28" i="15"/>
  <c r="AK28" i="15" s="1"/>
  <c r="AR28" i="15" s="1"/>
  <c r="O28" i="15"/>
  <c r="N28" i="15"/>
  <c r="M28" i="15"/>
  <c r="K28" i="15"/>
  <c r="AI28" i="15" s="1"/>
  <c r="J28" i="15"/>
  <c r="I28" i="15"/>
  <c r="H28" i="15"/>
  <c r="G28" i="15"/>
  <c r="F28" i="15"/>
  <c r="C28" i="15"/>
  <c r="AH27" i="15"/>
  <c r="AK27" i="15"/>
  <c r="AJ27" i="15"/>
  <c r="Y25" i="15"/>
  <c r="P25" i="15"/>
  <c r="K25" i="15"/>
  <c r="C25" i="15"/>
  <c r="Y24" i="15"/>
  <c r="P24" i="15"/>
  <c r="K24" i="15"/>
  <c r="P23" i="15"/>
  <c r="Y22" i="15"/>
  <c r="P22" i="15"/>
  <c r="Y21" i="15"/>
  <c r="K21" i="15"/>
  <c r="C21" i="15"/>
  <c r="Y20" i="15"/>
  <c r="P20" i="15"/>
  <c r="AC15" i="15"/>
  <c r="AB15" i="15"/>
  <c r="AA15" i="15"/>
  <c r="X15" i="15"/>
  <c r="W15" i="15"/>
  <c r="V15" i="15"/>
  <c r="O15" i="15"/>
  <c r="N15" i="15"/>
  <c r="M15" i="15"/>
  <c r="J15" i="15"/>
  <c r="I15" i="15"/>
  <c r="H15" i="15"/>
  <c r="G15" i="15"/>
  <c r="F15" i="15"/>
  <c r="AC10" i="15"/>
  <c r="AB10" i="15"/>
  <c r="X10" i="15"/>
  <c r="W10" i="15"/>
  <c r="V10" i="15"/>
  <c r="O10" i="15"/>
  <c r="N10" i="15"/>
  <c r="M10" i="15"/>
  <c r="J10" i="15"/>
  <c r="I10" i="15"/>
  <c r="H10" i="15"/>
  <c r="G10" i="15"/>
  <c r="F10" i="15"/>
  <c r="AA10" i="15"/>
  <c r="P8" i="15"/>
  <c r="K8" i="15"/>
  <c r="V4" i="15"/>
  <c r="AD3" i="15"/>
  <c r="AA3" i="15"/>
  <c r="AD110" i="14"/>
  <c r="Y110" i="14"/>
  <c r="AD108" i="14"/>
  <c r="Y108" i="14"/>
  <c r="X108" i="14" s="1"/>
  <c r="Y107" i="14"/>
  <c r="P107" i="14"/>
  <c r="O107" i="14" s="1"/>
  <c r="AF106" i="14"/>
  <c r="D106" i="14"/>
  <c r="AF105" i="14"/>
  <c r="D105" i="14"/>
  <c r="AF98" i="14"/>
  <c r="D98" i="14"/>
  <c r="AF97" i="14"/>
  <c r="AD92" i="14"/>
  <c r="Y92" i="14"/>
  <c r="D92" i="14" s="1"/>
  <c r="AD90" i="14"/>
  <c r="Y90" i="14"/>
  <c r="P90" i="14"/>
  <c r="K90" i="14"/>
  <c r="D90" i="14" s="1"/>
  <c r="AD89" i="14"/>
  <c r="Y89" i="14"/>
  <c r="P89" i="14"/>
  <c r="K89" i="14"/>
  <c r="D89" i="14" s="1"/>
  <c r="AD88" i="14"/>
  <c r="Y88" i="14"/>
  <c r="P88" i="14"/>
  <c r="K88" i="14"/>
  <c r="D88" i="14" s="1"/>
  <c r="AD87" i="14"/>
  <c r="Y87" i="14"/>
  <c r="P87" i="14"/>
  <c r="K87" i="14"/>
  <c r="D87" i="14" s="1"/>
  <c r="AD86" i="14"/>
  <c r="Y86" i="14"/>
  <c r="P86" i="14"/>
  <c r="K86" i="14"/>
  <c r="D86" i="14" s="1"/>
  <c r="AD85" i="14"/>
  <c r="Y85" i="14"/>
  <c r="P85" i="14"/>
  <c r="K85" i="14"/>
  <c r="AD84" i="14"/>
  <c r="Y84" i="14"/>
  <c r="P84" i="14"/>
  <c r="K84" i="14"/>
  <c r="Y83" i="14"/>
  <c r="P83" i="14"/>
  <c r="K83" i="14"/>
  <c r="AD82" i="14"/>
  <c r="Y82" i="14"/>
  <c r="Y102" i="14" s="1"/>
  <c r="P82" i="14"/>
  <c r="AD81" i="14"/>
  <c r="Y81" i="14"/>
  <c r="P81" i="14"/>
  <c r="K81" i="14"/>
  <c r="D81" i="14" s="1"/>
  <c r="K77" i="14"/>
  <c r="K111" i="14" s="1"/>
  <c r="D111" i="14" s="1"/>
  <c r="Y76" i="14"/>
  <c r="P76" i="14"/>
  <c r="K76" i="14"/>
  <c r="Y75" i="14"/>
  <c r="Y35" i="14" s="1"/>
  <c r="AL35" i="14" s="1"/>
  <c r="AS35" i="14" s="1"/>
  <c r="P75" i="14"/>
  <c r="K75" i="14"/>
  <c r="P96" i="14"/>
  <c r="AD72" i="14"/>
  <c r="AD71" i="14"/>
  <c r="AD70" i="14"/>
  <c r="Y70" i="14"/>
  <c r="P70" i="14"/>
  <c r="K70" i="14"/>
  <c r="AD69" i="14"/>
  <c r="Y69" i="14"/>
  <c r="P69" i="14"/>
  <c r="P99" i="14" s="1"/>
  <c r="K69" i="14"/>
  <c r="AD68" i="14"/>
  <c r="Y68" i="14"/>
  <c r="P68" i="14"/>
  <c r="P27" i="14" s="1"/>
  <c r="AJ27" i="14" s="1"/>
  <c r="K68" i="14"/>
  <c r="AD67" i="14"/>
  <c r="Y67" i="14"/>
  <c r="P67" i="14"/>
  <c r="K67" i="14"/>
  <c r="AD66" i="14"/>
  <c r="Y66" i="14"/>
  <c r="T66" i="14"/>
  <c r="P66" i="14"/>
  <c r="K66" i="14"/>
  <c r="AD107" i="14"/>
  <c r="AC107" i="14" s="1"/>
  <c r="K107" i="14"/>
  <c r="AD64" i="14"/>
  <c r="Y64" i="14"/>
  <c r="K64" i="14"/>
  <c r="AD63" i="14"/>
  <c r="AD100" i="14" s="1"/>
  <c r="AC100" i="14" s="1"/>
  <c r="Y63" i="14"/>
  <c r="Y100" i="14" s="1"/>
  <c r="P63" i="14"/>
  <c r="K63" i="14"/>
  <c r="K100" i="14" s="1"/>
  <c r="AD62" i="14"/>
  <c r="Y62" i="14"/>
  <c r="P62" i="14"/>
  <c r="K62" i="14"/>
  <c r="AD61" i="14"/>
  <c r="Y61" i="14"/>
  <c r="P61" i="14"/>
  <c r="K61" i="14"/>
  <c r="AD60" i="14"/>
  <c r="Y60" i="14"/>
  <c r="P60" i="14"/>
  <c r="K60" i="14"/>
  <c r="AD59" i="14"/>
  <c r="Y59" i="14"/>
  <c r="P59" i="14"/>
  <c r="K59" i="14"/>
  <c r="AD58" i="14"/>
  <c r="Y58" i="14"/>
  <c r="P58" i="14"/>
  <c r="K58" i="14"/>
  <c r="AD57" i="14"/>
  <c r="Y57" i="14"/>
  <c r="P57" i="14"/>
  <c r="K57" i="14"/>
  <c r="AD56" i="14"/>
  <c r="Y56" i="14"/>
  <c r="P56" i="14"/>
  <c r="K56" i="14"/>
  <c r="AD55" i="14"/>
  <c r="AD38" i="14" s="1"/>
  <c r="AM38" i="14" s="1"/>
  <c r="AT38" i="14" s="1"/>
  <c r="Y55" i="14"/>
  <c r="P55" i="14"/>
  <c r="P38" i="14" s="1"/>
  <c r="AJ38" i="14" s="1"/>
  <c r="AQ38" i="14" s="1"/>
  <c r="K55" i="14"/>
  <c r="P108" i="14"/>
  <c r="M108" i="14" s="1"/>
  <c r="K108" i="14"/>
  <c r="AD53" i="14"/>
  <c r="Y53" i="14"/>
  <c r="P53" i="14"/>
  <c r="Y52" i="14"/>
  <c r="P52" i="14"/>
  <c r="K52" i="14"/>
  <c r="AD51" i="14"/>
  <c r="AD36" i="14" s="1"/>
  <c r="AB109" i="14" s="1"/>
  <c r="Y51" i="14"/>
  <c r="P51" i="14"/>
  <c r="P36" i="14" s="1"/>
  <c r="AJ36" i="14" s="1"/>
  <c r="AQ36" i="14" s="1"/>
  <c r="K51" i="14"/>
  <c r="P50" i="14"/>
  <c r="K50" i="14"/>
  <c r="K110" i="14" s="1"/>
  <c r="K49" i="14"/>
  <c r="Y48" i="14"/>
  <c r="P48" i="14"/>
  <c r="P35" i="14" s="1"/>
  <c r="AJ35" i="14" s="1"/>
  <c r="AQ35" i="14" s="1"/>
  <c r="K48" i="14"/>
  <c r="AD47" i="14"/>
  <c r="Y47" i="14"/>
  <c r="P47" i="14"/>
  <c r="P33" i="14" s="1"/>
  <c r="AJ33" i="14" s="1"/>
  <c r="AQ33" i="14" s="1"/>
  <c r="K47" i="14"/>
  <c r="AD46" i="14"/>
  <c r="Y46" i="14"/>
  <c r="P46" i="14"/>
  <c r="K46" i="14"/>
  <c r="AD45" i="14"/>
  <c r="Y45" i="14"/>
  <c r="P45" i="14"/>
  <c r="P93" i="14" s="1"/>
  <c r="K45" i="14"/>
  <c r="AH39" i="14"/>
  <c r="AM39" i="14"/>
  <c r="AT39" i="14" s="1"/>
  <c r="AL39" i="14"/>
  <c r="AS39" i="14" s="1"/>
  <c r="AK39" i="14"/>
  <c r="AR39" i="14" s="1"/>
  <c r="AJ39" i="14"/>
  <c r="AQ39" i="14" s="1"/>
  <c r="AH38" i="14"/>
  <c r="AC38" i="14"/>
  <c r="AB38" i="14"/>
  <c r="AA38" i="14"/>
  <c r="X38" i="14"/>
  <c r="W38" i="14"/>
  <c r="V38" i="14"/>
  <c r="T38" i="14"/>
  <c r="AK38" i="14" s="1"/>
  <c r="AR38" i="14" s="1"/>
  <c r="O38" i="14"/>
  <c r="N38" i="14"/>
  <c r="M38" i="14"/>
  <c r="J38" i="14"/>
  <c r="I38" i="14"/>
  <c r="H38" i="14"/>
  <c r="G38" i="14"/>
  <c r="F38" i="14"/>
  <c r="C38" i="14"/>
  <c r="AH37" i="14"/>
  <c r="AC37" i="14"/>
  <c r="AB37" i="14"/>
  <c r="AA37" i="14"/>
  <c r="X37" i="14"/>
  <c r="W37" i="14"/>
  <c r="V37" i="14"/>
  <c r="T37" i="14"/>
  <c r="AK37" i="14" s="1"/>
  <c r="AR37" i="14" s="1"/>
  <c r="P37" i="14"/>
  <c r="AJ37" i="14" s="1"/>
  <c r="AQ37" i="14" s="1"/>
  <c r="O37" i="14"/>
  <c r="N37" i="14"/>
  <c r="M37" i="14"/>
  <c r="J37" i="14"/>
  <c r="I37" i="14"/>
  <c r="H37" i="14"/>
  <c r="G37" i="14"/>
  <c r="F37" i="14"/>
  <c r="C37" i="14"/>
  <c r="AH36" i="14"/>
  <c r="AK36" i="14"/>
  <c r="AR36" i="14" s="1"/>
  <c r="AH35" i="14"/>
  <c r="AC35" i="14"/>
  <c r="AB35" i="14"/>
  <c r="AA35" i="14"/>
  <c r="X35" i="14"/>
  <c r="W35" i="14"/>
  <c r="V35" i="14"/>
  <c r="O35" i="14"/>
  <c r="N35" i="14"/>
  <c r="M35" i="14"/>
  <c r="J35" i="14"/>
  <c r="I35" i="14"/>
  <c r="H35" i="14"/>
  <c r="G35" i="14"/>
  <c r="F35" i="14"/>
  <c r="C35" i="14"/>
  <c r="C24" i="14" s="1"/>
  <c r="AH34" i="14"/>
  <c r="AD34" i="14"/>
  <c r="AM34" i="14" s="1"/>
  <c r="AT34" i="14" s="1"/>
  <c r="AC34" i="14"/>
  <c r="AB34" i="14"/>
  <c r="AA34" i="14"/>
  <c r="Y34" i="14"/>
  <c r="AL34" i="14" s="1"/>
  <c r="AS34" i="14" s="1"/>
  <c r="X34" i="14"/>
  <c r="W34" i="14"/>
  <c r="V34" i="14"/>
  <c r="T34" i="14"/>
  <c r="AK34" i="14" s="1"/>
  <c r="AR34" i="14" s="1"/>
  <c r="O34" i="14"/>
  <c r="N34" i="14"/>
  <c r="M34" i="14"/>
  <c r="K34" i="14"/>
  <c r="AI34" i="14" s="1"/>
  <c r="J34" i="14"/>
  <c r="I34" i="14"/>
  <c r="H34" i="14"/>
  <c r="G34" i="14"/>
  <c r="F34" i="14"/>
  <c r="C34" i="14"/>
  <c r="AM33" i="14"/>
  <c r="AT33" i="14" s="1"/>
  <c r="AH33" i="14"/>
  <c r="AD33" i="14"/>
  <c r="AC33" i="14"/>
  <c r="AB33" i="14"/>
  <c r="AA33" i="14"/>
  <c r="Y33" i="14"/>
  <c r="AL33" i="14" s="1"/>
  <c r="AS33" i="14" s="1"/>
  <c r="X33" i="14"/>
  <c r="W33" i="14"/>
  <c r="V33" i="14"/>
  <c r="T33" i="14"/>
  <c r="AK33" i="14" s="1"/>
  <c r="AR33" i="14" s="1"/>
  <c r="O33" i="14"/>
  <c r="N33" i="14"/>
  <c r="M33" i="14"/>
  <c r="K33" i="14"/>
  <c r="AI33" i="14" s="1"/>
  <c r="AP33" i="14" s="1"/>
  <c r="J33" i="14"/>
  <c r="I33" i="14"/>
  <c r="H33" i="14"/>
  <c r="G33" i="14"/>
  <c r="F33" i="14"/>
  <c r="C33" i="14"/>
  <c r="C21" i="14" s="1"/>
  <c r="AS32" i="14"/>
  <c r="BR32" i="14" s="1"/>
  <c r="AL32" i="14"/>
  <c r="AH32" i="14"/>
  <c r="AC32" i="14"/>
  <c r="AB32" i="14"/>
  <c r="AA32" i="14"/>
  <c r="Y32" i="14"/>
  <c r="X32" i="14"/>
  <c r="W32" i="14"/>
  <c r="V32" i="14"/>
  <c r="T32" i="14"/>
  <c r="AK32" i="14" s="1"/>
  <c r="AR32" i="14" s="1"/>
  <c r="P32" i="14"/>
  <c r="AJ32" i="14" s="1"/>
  <c r="AQ32" i="14" s="1"/>
  <c r="O32" i="14"/>
  <c r="N32" i="14"/>
  <c r="M32" i="14"/>
  <c r="K32" i="14"/>
  <c r="AI32" i="14" s="1"/>
  <c r="J32" i="14"/>
  <c r="I32" i="14"/>
  <c r="H32" i="14"/>
  <c r="G32" i="14"/>
  <c r="F32" i="14"/>
  <c r="C32" i="14"/>
  <c r="C22" i="14" s="1"/>
  <c r="AH31" i="14"/>
  <c r="AD31" i="14"/>
  <c r="AM31" i="14" s="1"/>
  <c r="AT31" i="14" s="1"/>
  <c r="AC31" i="14"/>
  <c r="AB31" i="14"/>
  <c r="AA31" i="14"/>
  <c r="Y31" i="14"/>
  <c r="AL31" i="14" s="1"/>
  <c r="AS31" i="14" s="1"/>
  <c r="X31" i="14"/>
  <c r="W31" i="14"/>
  <c r="V31" i="14"/>
  <c r="T31" i="14"/>
  <c r="AK31" i="14" s="1"/>
  <c r="AR31" i="14" s="1"/>
  <c r="P31" i="14"/>
  <c r="AJ31" i="14" s="1"/>
  <c r="AQ31" i="14" s="1"/>
  <c r="O31" i="14"/>
  <c r="N31" i="14"/>
  <c r="M31" i="14"/>
  <c r="K31" i="14"/>
  <c r="AI31" i="14" s="1"/>
  <c r="J31" i="14"/>
  <c r="I31" i="14"/>
  <c r="H31" i="14"/>
  <c r="G31" i="14"/>
  <c r="F31" i="14"/>
  <c r="C31" i="14"/>
  <c r="AH30" i="14"/>
  <c r="AD30" i="14"/>
  <c r="AM30" i="14" s="1"/>
  <c r="AT30" i="14" s="1"/>
  <c r="AC30" i="14"/>
  <c r="AB30" i="14"/>
  <c r="AA30" i="14"/>
  <c r="Y30" i="14"/>
  <c r="AL30" i="14" s="1"/>
  <c r="AS30" i="14" s="1"/>
  <c r="X30" i="14"/>
  <c r="W30" i="14"/>
  <c r="V30" i="14"/>
  <c r="T30" i="14"/>
  <c r="AK30" i="14" s="1"/>
  <c r="AR30" i="14" s="1"/>
  <c r="P30" i="14"/>
  <c r="AJ30" i="14" s="1"/>
  <c r="AQ30" i="14" s="1"/>
  <c r="O30" i="14"/>
  <c r="N30" i="14"/>
  <c r="M30" i="14"/>
  <c r="K30" i="14"/>
  <c r="AI30" i="14" s="1"/>
  <c r="J30" i="14"/>
  <c r="I30" i="14"/>
  <c r="H30" i="14"/>
  <c r="G30" i="14"/>
  <c r="F30" i="14"/>
  <c r="C30" i="14"/>
  <c r="AH29" i="14"/>
  <c r="AK29" i="14"/>
  <c r="AR29" i="14" s="1"/>
  <c r="AI29" i="14"/>
  <c r="AH28" i="14"/>
  <c r="AC28" i="14"/>
  <c r="AB28" i="14"/>
  <c r="AA28" i="14"/>
  <c r="Y28" i="14"/>
  <c r="AL28" i="14" s="1"/>
  <c r="AS28" i="14" s="1"/>
  <c r="X28" i="14"/>
  <c r="W28" i="14"/>
  <c r="V28" i="14"/>
  <c r="T28" i="14"/>
  <c r="AK28" i="14" s="1"/>
  <c r="AR28" i="14" s="1"/>
  <c r="O28" i="14"/>
  <c r="N28" i="14"/>
  <c r="M28" i="14"/>
  <c r="K28" i="14"/>
  <c r="AI28" i="14" s="1"/>
  <c r="J28" i="14"/>
  <c r="I28" i="14"/>
  <c r="H28" i="14"/>
  <c r="G28" i="14"/>
  <c r="F28" i="14"/>
  <c r="C28" i="14"/>
  <c r="AH27" i="14"/>
  <c r="AK27" i="14"/>
  <c r="Y25" i="14"/>
  <c r="P25" i="14"/>
  <c r="K25" i="14"/>
  <c r="C25" i="14"/>
  <c r="Y24" i="14"/>
  <c r="P24" i="14"/>
  <c r="K24" i="14"/>
  <c r="P23" i="14"/>
  <c r="Y22" i="14"/>
  <c r="P22" i="14"/>
  <c r="Y21" i="14"/>
  <c r="K21" i="14"/>
  <c r="Y20" i="14"/>
  <c r="P20" i="14"/>
  <c r="AC15" i="14"/>
  <c r="AB15" i="14"/>
  <c r="AA15" i="14"/>
  <c r="X15" i="14"/>
  <c r="W15" i="14"/>
  <c r="V15" i="14"/>
  <c r="O15" i="14"/>
  <c r="N15" i="14"/>
  <c r="M15" i="14"/>
  <c r="J15" i="14"/>
  <c r="I15" i="14"/>
  <c r="H15" i="14"/>
  <c r="G15" i="14"/>
  <c r="F15" i="14"/>
  <c r="AC10" i="14"/>
  <c r="AA10" i="14"/>
  <c r="X10" i="14"/>
  <c r="W10" i="14"/>
  <c r="V10" i="14"/>
  <c r="O10" i="14"/>
  <c r="N10" i="14"/>
  <c r="M10" i="14"/>
  <c r="J10" i="14"/>
  <c r="I10" i="14"/>
  <c r="H10" i="14"/>
  <c r="G10" i="14"/>
  <c r="F10" i="14"/>
  <c r="P8" i="14"/>
  <c r="K8" i="14"/>
  <c r="V4" i="14"/>
  <c r="AD3" i="14"/>
  <c r="AA3" i="14"/>
  <c r="AD110" i="13"/>
  <c r="Y110" i="13"/>
  <c r="AD108" i="13"/>
  <c r="Y108" i="13"/>
  <c r="W108" i="13" s="1"/>
  <c r="Y107" i="13"/>
  <c r="P107" i="13"/>
  <c r="O107" i="13" s="1"/>
  <c r="N107" i="13"/>
  <c r="AF106" i="13"/>
  <c r="D106" i="13"/>
  <c r="AF105" i="13"/>
  <c r="D105" i="13"/>
  <c r="AF98" i="13"/>
  <c r="D98" i="13"/>
  <c r="AF97" i="13"/>
  <c r="AD92" i="13"/>
  <c r="Y92" i="13"/>
  <c r="AD90" i="13"/>
  <c r="Y90" i="13"/>
  <c r="P90" i="13"/>
  <c r="D90" i="13" s="1"/>
  <c r="K90" i="13"/>
  <c r="AD89" i="13"/>
  <c r="Y89" i="13"/>
  <c r="P89" i="13"/>
  <c r="K89" i="13"/>
  <c r="AD88" i="13"/>
  <c r="Y88" i="13"/>
  <c r="P88" i="13"/>
  <c r="K88" i="13"/>
  <c r="AD87" i="13"/>
  <c r="Y87" i="13"/>
  <c r="P87" i="13"/>
  <c r="K87" i="13"/>
  <c r="AD86" i="13"/>
  <c r="Y86" i="13"/>
  <c r="P86" i="13"/>
  <c r="K86" i="13"/>
  <c r="AD85" i="13"/>
  <c r="Y85" i="13"/>
  <c r="P85" i="13"/>
  <c r="K85" i="13"/>
  <c r="AD84" i="13"/>
  <c r="Y84" i="13"/>
  <c r="P84" i="13"/>
  <c r="D84" i="13" s="1"/>
  <c r="K84" i="13"/>
  <c r="Y83" i="13"/>
  <c r="P83" i="13"/>
  <c r="K83" i="13"/>
  <c r="AD82" i="13"/>
  <c r="Y82" i="13"/>
  <c r="P82" i="13"/>
  <c r="AD81" i="13"/>
  <c r="Y81" i="13"/>
  <c r="P81" i="13"/>
  <c r="K77" i="13"/>
  <c r="Y76" i="13"/>
  <c r="P76" i="13"/>
  <c r="K76" i="13"/>
  <c r="Y75" i="13"/>
  <c r="P75" i="13"/>
  <c r="K75" i="13"/>
  <c r="P96" i="13"/>
  <c r="AD72" i="13"/>
  <c r="AD71" i="13"/>
  <c r="AD70" i="13"/>
  <c r="Y70" i="13"/>
  <c r="P70" i="13"/>
  <c r="K70" i="13"/>
  <c r="K33" i="13" s="1"/>
  <c r="AI33" i="13" s="1"/>
  <c r="AD69" i="13"/>
  <c r="Y69" i="13"/>
  <c r="P69" i="13"/>
  <c r="P99" i="13" s="1"/>
  <c r="K69" i="13"/>
  <c r="AD68" i="13"/>
  <c r="Y68" i="13"/>
  <c r="P68" i="13"/>
  <c r="K68" i="13"/>
  <c r="K102" i="13" s="1"/>
  <c r="AD67" i="13"/>
  <c r="Y67" i="13"/>
  <c r="P67" i="13"/>
  <c r="P32" i="13" s="1"/>
  <c r="AJ32" i="13" s="1"/>
  <c r="AQ32" i="13" s="1"/>
  <c r="K67" i="13"/>
  <c r="AD66" i="13"/>
  <c r="Y66" i="13"/>
  <c r="T66" i="13"/>
  <c r="P66" i="13"/>
  <c r="K66" i="13"/>
  <c r="AD65" i="13"/>
  <c r="AD107" i="13" s="1"/>
  <c r="AC107" i="13" s="1"/>
  <c r="K65" i="13"/>
  <c r="K107" i="13" s="1"/>
  <c r="AD64" i="13"/>
  <c r="Y64" i="13"/>
  <c r="K64" i="13"/>
  <c r="AD63" i="13"/>
  <c r="AD100" i="13" s="1"/>
  <c r="AC100" i="13" s="1"/>
  <c r="Y63" i="13"/>
  <c r="Y100" i="13" s="1"/>
  <c r="P63" i="13"/>
  <c r="P100" i="13" s="1"/>
  <c r="K63" i="13"/>
  <c r="K100" i="13" s="1"/>
  <c r="AD62" i="13"/>
  <c r="Y62" i="13"/>
  <c r="P62" i="13"/>
  <c r="K62" i="13"/>
  <c r="AD61" i="13"/>
  <c r="Y61" i="13"/>
  <c r="P61" i="13"/>
  <c r="K61" i="13"/>
  <c r="AD60" i="13"/>
  <c r="Y60" i="13"/>
  <c r="P60" i="13"/>
  <c r="K60" i="13"/>
  <c r="AD59" i="13"/>
  <c r="Y59" i="13"/>
  <c r="P59" i="13"/>
  <c r="K59" i="13"/>
  <c r="AD58" i="13"/>
  <c r="Y58" i="13"/>
  <c r="P58" i="13"/>
  <c r="K58" i="13"/>
  <c r="AD57" i="13"/>
  <c r="Y57" i="13"/>
  <c r="P57" i="13"/>
  <c r="K57" i="13"/>
  <c r="AD56" i="13"/>
  <c r="Y56" i="13"/>
  <c r="P56" i="13"/>
  <c r="K56" i="13"/>
  <c r="AD55" i="13"/>
  <c r="D55" i="13" s="1"/>
  <c r="Y55" i="13"/>
  <c r="P55" i="13"/>
  <c r="K55" i="13"/>
  <c r="P108" i="13"/>
  <c r="N108" i="13" s="1"/>
  <c r="K108" i="13"/>
  <c r="AD53" i="13"/>
  <c r="Y53" i="13"/>
  <c r="P53" i="13"/>
  <c r="Y52" i="13"/>
  <c r="P52" i="13"/>
  <c r="K52" i="13"/>
  <c r="AD51" i="13"/>
  <c r="Y51" i="13"/>
  <c r="P51" i="13"/>
  <c r="K51" i="13"/>
  <c r="P50" i="13"/>
  <c r="P110" i="13" s="1"/>
  <c r="K50" i="13"/>
  <c r="K110" i="13" s="1"/>
  <c r="K49" i="13"/>
  <c r="Y48" i="13"/>
  <c r="Y35" i="13" s="1"/>
  <c r="AL35" i="13" s="1"/>
  <c r="AS35" i="13" s="1"/>
  <c r="BF35" i="13" s="1"/>
  <c r="P48" i="13"/>
  <c r="K48" i="13"/>
  <c r="K35" i="13" s="1"/>
  <c r="AI35" i="13" s="1"/>
  <c r="AD47" i="13"/>
  <c r="Y47" i="13"/>
  <c r="Y33" i="13" s="1"/>
  <c r="AL33" i="13" s="1"/>
  <c r="AS33" i="13" s="1"/>
  <c r="P47" i="13"/>
  <c r="K47" i="13"/>
  <c r="AD46" i="13"/>
  <c r="Y46" i="13"/>
  <c r="Y32" i="13" s="1"/>
  <c r="AL32" i="13" s="1"/>
  <c r="AS32" i="13" s="1"/>
  <c r="P46" i="13"/>
  <c r="K46" i="13"/>
  <c r="AD45" i="13"/>
  <c r="Y45" i="13"/>
  <c r="P45" i="13"/>
  <c r="K45" i="13"/>
  <c r="AL39" i="13"/>
  <c r="AS39" i="13" s="1"/>
  <c r="BF39" i="13" s="1"/>
  <c r="AH39" i="13"/>
  <c r="AM39" i="13"/>
  <c r="AT39" i="13" s="1"/>
  <c r="AK39" i="13"/>
  <c r="AR39" i="13" s="1"/>
  <c r="AJ39" i="13"/>
  <c r="AQ39" i="13" s="1"/>
  <c r="AH38" i="13"/>
  <c r="AC38" i="13"/>
  <c r="AB38" i="13"/>
  <c r="AA38" i="13"/>
  <c r="X38" i="13"/>
  <c r="W38" i="13"/>
  <c r="V38" i="13"/>
  <c r="T38" i="13"/>
  <c r="AK38" i="13" s="1"/>
  <c r="AR38" i="13" s="1"/>
  <c r="O38" i="13"/>
  <c r="N38" i="13"/>
  <c r="M38" i="13"/>
  <c r="J38" i="13"/>
  <c r="I38" i="13"/>
  <c r="H38" i="13"/>
  <c r="G38" i="13"/>
  <c r="F38" i="13"/>
  <c r="C38" i="13"/>
  <c r="AH37" i="13"/>
  <c r="AC37" i="13"/>
  <c r="AB37" i="13"/>
  <c r="AA37" i="13"/>
  <c r="X37" i="13"/>
  <c r="W37" i="13"/>
  <c r="V37" i="13"/>
  <c r="T37" i="13"/>
  <c r="AK37" i="13" s="1"/>
  <c r="AR37" i="13" s="1"/>
  <c r="P37" i="13"/>
  <c r="AJ37" i="13" s="1"/>
  <c r="AQ37" i="13" s="1"/>
  <c r="O37" i="13"/>
  <c r="N37" i="13"/>
  <c r="M37" i="13"/>
  <c r="J37" i="13"/>
  <c r="I37" i="13"/>
  <c r="H37" i="13"/>
  <c r="G37" i="13"/>
  <c r="F37" i="13"/>
  <c r="C37" i="13"/>
  <c r="AH36" i="13"/>
  <c r="AK36" i="13"/>
  <c r="AR36" i="13" s="1"/>
  <c r="C25" i="13"/>
  <c r="AH35" i="13"/>
  <c r="AC35" i="13"/>
  <c r="AB35" i="13"/>
  <c r="AA35" i="13"/>
  <c r="X35" i="13"/>
  <c r="W35" i="13"/>
  <c r="V35" i="13"/>
  <c r="O35" i="13"/>
  <c r="N35" i="13"/>
  <c r="M35" i="13"/>
  <c r="J35" i="13"/>
  <c r="I35" i="13"/>
  <c r="H35" i="13"/>
  <c r="G35" i="13"/>
  <c r="F35" i="13"/>
  <c r="C35" i="13"/>
  <c r="C24" i="13" s="1"/>
  <c r="AH34" i="13"/>
  <c r="AD34" i="13"/>
  <c r="AM34" i="13" s="1"/>
  <c r="AT34" i="13" s="1"/>
  <c r="AC34" i="13"/>
  <c r="AB34" i="13"/>
  <c r="AA34" i="13"/>
  <c r="Y34" i="13"/>
  <c r="AL34" i="13" s="1"/>
  <c r="AS34" i="13" s="1"/>
  <c r="X34" i="13"/>
  <c r="W34" i="13"/>
  <c r="V34" i="13"/>
  <c r="T34" i="13"/>
  <c r="AK34" i="13" s="1"/>
  <c r="AR34" i="13" s="1"/>
  <c r="O34" i="13"/>
  <c r="N34" i="13"/>
  <c r="M34" i="13"/>
  <c r="K34" i="13"/>
  <c r="AI34" i="13" s="1"/>
  <c r="AP34" i="13" s="1"/>
  <c r="BC34" i="13" s="1"/>
  <c r="J34" i="13"/>
  <c r="I34" i="13"/>
  <c r="H34" i="13"/>
  <c r="G34" i="13"/>
  <c r="F34" i="13"/>
  <c r="C34" i="13"/>
  <c r="C19" i="13" s="1"/>
  <c r="AH33" i="13"/>
  <c r="AD33" i="13"/>
  <c r="AM33" i="13" s="1"/>
  <c r="AT33" i="13" s="1"/>
  <c r="AC33" i="13"/>
  <c r="AB33" i="13"/>
  <c r="AA33" i="13"/>
  <c r="X33" i="13"/>
  <c r="W33" i="13"/>
  <c r="V33" i="13"/>
  <c r="T33" i="13"/>
  <c r="AK33" i="13" s="1"/>
  <c r="AR33" i="13" s="1"/>
  <c r="O33" i="13"/>
  <c r="N33" i="13"/>
  <c r="M33" i="13"/>
  <c r="J33" i="13"/>
  <c r="I33" i="13"/>
  <c r="H33" i="13"/>
  <c r="G33" i="13"/>
  <c r="F33" i="13"/>
  <c r="C33" i="13"/>
  <c r="C21" i="13" s="1"/>
  <c r="AH32" i="13"/>
  <c r="AD32" i="13"/>
  <c r="AM32" i="13" s="1"/>
  <c r="AT32" i="13" s="1"/>
  <c r="AC32" i="13"/>
  <c r="AB32" i="13"/>
  <c r="AA32" i="13"/>
  <c r="X32" i="13"/>
  <c r="W32" i="13"/>
  <c r="V32" i="13"/>
  <c r="T32" i="13"/>
  <c r="AK32" i="13" s="1"/>
  <c r="AR32" i="13" s="1"/>
  <c r="O32" i="13"/>
  <c r="N32" i="13"/>
  <c r="M32" i="13"/>
  <c r="K32" i="13"/>
  <c r="AI32" i="13" s="1"/>
  <c r="AP32" i="13" s="1"/>
  <c r="J32" i="13"/>
  <c r="I32" i="13"/>
  <c r="H32" i="13"/>
  <c r="G32" i="13"/>
  <c r="F32" i="13"/>
  <c r="C32" i="13"/>
  <c r="C22" i="13" s="1"/>
  <c r="AH31" i="13"/>
  <c r="AD31" i="13"/>
  <c r="AM31" i="13" s="1"/>
  <c r="AT31" i="13" s="1"/>
  <c r="AC31" i="13"/>
  <c r="AB31" i="13"/>
  <c r="AA31" i="13"/>
  <c r="Y31" i="13"/>
  <c r="AL31" i="13" s="1"/>
  <c r="AS31" i="13" s="1"/>
  <c r="BF31" i="13" s="1"/>
  <c r="X31" i="13"/>
  <c r="W31" i="13"/>
  <c r="V31" i="13"/>
  <c r="T31" i="13"/>
  <c r="AK31" i="13" s="1"/>
  <c r="AR31" i="13" s="1"/>
  <c r="P31" i="13"/>
  <c r="AJ31" i="13" s="1"/>
  <c r="AQ31" i="13" s="1"/>
  <c r="O31" i="13"/>
  <c r="N31" i="13"/>
  <c r="M31" i="13"/>
  <c r="J31" i="13"/>
  <c r="I31" i="13"/>
  <c r="H31" i="13"/>
  <c r="G31" i="13"/>
  <c r="F31" i="13"/>
  <c r="C31" i="13"/>
  <c r="AH30" i="13"/>
  <c r="AD30" i="13"/>
  <c r="AM30" i="13" s="1"/>
  <c r="AT30" i="13" s="1"/>
  <c r="AC30" i="13"/>
  <c r="AB30" i="13"/>
  <c r="AA30" i="13"/>
  <c r="Y30" i="13"/>
  <c r="AL30" i="13" s="1"/>
  <c r="AS30" i="13" s="1"/>
  <c r="X30" i="13"/>
  <c r="W30" i="13"/>
  <c r="V30" i="13"/>
  <c r="T30" i="13"/>
  <c r="AK30" i="13" s="1"/>
  <c r="AR30" i="13" s="1"/>
  <c r="P30" i="13"/>
  <c r="AJ30" i="13" s="1"/>
  <c r="AQ30" i="13" s="1"/>
  <c r="O30" i="13"/>
  <c r="N30" i="13"/>
  <c r="M30" i="13"/>
  <c r="J30" i="13"/>
  <c r="I30" i="13"/>
  <c r="H30" i="13"/>
  <c r="G30" i="13"/>
  <c r="F30" i="13"/>
  <c r="C30" i="13"/>
  <c r="AH29" i="13"/>
  <c r="AK29" i="13"/>
  <c r="AR29" i="13" s="1"/>
  <c r="AI29" i="13"/>
  <c r="AH28" i="13"/>
  <c r="AC28" i="13"/>
  <c r="AB28" i="13"/>
  <c r="AA28" i="13"/>
  <c r="Y28" i="13"/>
  <c r="AL28" i="13" s="1"/>
  <c r="AS28" i="13" s="1"/>
  <c r="X28" i="13"/>
  <c r="W28" i="13"/>
  <c r="V28" i="13"/>
  <c r="T28" i="13"/>
  <c r="AK28" i="13" s="1"/>
  <c r="AR28" i="13" s="1"/>
  <c r="O28" i="13"/>
  <c r="N28" i="13"/>
  <c r="M28" i="13"/>
  <c r="K28" i="13"/>
  <c r="AI28" i="13" s="1"/>
  <c r="J28" i="13"/>
  <c r="I28" i="13"/>
  <c r="H28" i="13"/>
  <c r="G28" i="13"/>
  <c r="F28" i="13"/>
  <c r="C28" i="13"/>
  <c r="AH27" i="13"/>
  <c r="AK27" i="13"/>
  <c r="Y25" i="13"/>
  <c r="P25" i="13"/>
  <c r="K25" i="13"/>
  <c r="Y24" i="13"/>
  <c r="P24" i="13"/>
  <c r="K24" i="13"/>
  <c r="P23" i="13"/>
  <c r="Y22" i="13"/>
  <c r="P22" i="13"/>
  <c r="Y21" i="13"/>
  <c r="K21" i="13"/>
  <c r="Y20" i="13"/>
  <c r="P20" i="13"/>
  <c r="AC15" i="13"/>
  <c r="AB15" i="13"/>
  <c r="AA15" i="13"/>
  <c r="X15" i="13"/>
  <c r="W15" i="13"/>
  <c r="V15" i="13"/>
  <c r="O15" i="13"/>
  <c r="N15" i="13"/>
  <c r="M15" i="13"/>
  <c r="J15" i="13"/>
  <c r="I15" i="13"/>
  <c r="H15" i="13"/>
  <c r="G15" i="13"/>
  <c r="F15" i="13"/>
  <c r="AC10" i="13"/>
  <c r="AA10" i="13"/>
  <c r="X10" i="13"/>
  <c r="X17" i="13" s="1"/>
  <c r="W10" i="13"/>
  <c r="V10" i="13"/>
  <c r="O10" i="13"/>
  <c r="N10" i="13"/>
  <c r="M10" i="13"/>
  <c r="J10" i="13"/>
  <c r="I10" i="13"/>
  <c r="H10" i="13"/>
  <c r="G10" i="13"/>
  <c r="F10" i="13"/>
  <c r="AB10" i="13"/>
  <c r="P8" i="13"/>
  <c r="K8" i="13"/>
  <c r="V4" i="13"/>
  <c r="AD3" i="13"/>
  <c r="AA3" i="13"/>
  <c r="AD110" i="12"/>
  <c r="Y110" i="12"/>
  <c r="AD108" i="12"/>
  <c r="Y108" i="12"/>
  <c r="W108" i="12" s="1"/>
  <c r="Y107" i="12"/>
  <c r="P107" i="12"/>
  <c r="O107" i="12" s="1"/>
  <c r="N107" i="12"/>
  <c r="AF106" i="12"/>
  <c r="D106" i="12"/>
  <c r="AF105" i="12"/>
  <c r="D105" i="12"/>
  <c r="H103" i="12"/>
  <c r="AF98" i="12"/>
  <c r="D98" i="12"/>
  <c r="AF97" i="12"/>
  <c r="AD92" i="12"/>
  <c r="Y92" i="12"/>
  <c r="D92" i="12" s="1"/>
  <c r="AD90" i="12"/>
  <c r="Y90" i="12"/>
  <c r="Y104" i="12" s="1"/>
  <c r="P90" i="12"/>
  <c r="K90" i="12"/>
  <c r="AD89" i="12"/>
  <c r="Y89" i="12"/>
  <c r="P89" i="12"/>
  <c r="K89" i="12"/>
  <c r="AD88" i="12"/>
  <c r="Y88" i="12"/>
  <c r="P88" i="12"/>
  <c r="K88" i="12"/>
  <c r="AD87" i="12"/>
  <c r="Y87" i="12"/>
  <c r="P87" i="12"/>
  <c r="K87" i="12"/>
  <c r="AD86" i="12"/>
  <c r="Y86" i="12"/>
  <c r="P86" i="12"/>
  <c r="K86" i="12"/>
  <c r="AD85" i="12"/>
  <c r="Y85" i="12"/>
  <c r="P85" i="12"/>
  <c r="K85" i="12"/>
  <c r="AD84" i="12"/>
  <c r="Y84" i="12"/>
  <c r="P84" i="12"/>
  <c r="K84" i="12"/>
  <c r="Y83" i="12"/>
  <c r="P83" i="12"/>
  <c r="K83" i="12"/>
  <c r="AD82" i="12"/>
  <c r="Y82" i="12"/>
  <c r="P82" i="12"/>
  <c r="P102" i="12" s="1"/>
  <c r="AD81" i="12"/>
  <c r="Y81" i="12"/>
  <c r="P81" i="12"/>
  <c r="K81" i="12"/>
  <c r="D78" i="12"/>
  <c r="K77" i="12"/>
  <c r="Y76" i="12"/>
  <c r="P76" i="12"/>
  <c r="K76" i="12"/>
  <c r="Y75" i="12"/>
  <c r="T40" i="12"/>
  <c r="P75" i="12"/>
  <c r="P35" i="12" s="1"/>
  <c r="AJ35" i="12" s="1"/>
  <c r="AQ35" i="12" s="1"/>
  <c r="K75" i="12"/>
  <c r="P96" i="12"/>
  <c r="AD72" i="12"/>
  <c r="AD71" i="12"/>
  <c r="AD70" i="12"/>
  <c r="Y70" i="12"/>
  <c r="P70" i="12"/>
  <c r="K70" i="12"/>
  <c r="AD69" i="12"/>
  <c r="Y69" i="12"/>
  <c r="P69" i="12"/>
  <c r="P99" i="12" s="1"/>
  <c r="K69" i="12"/>
  <c r="AD68" i="12"/>
  <c r="Y68" i="12"/>
  <c r="P68" i="12"/>
  <c r="K68" i="12"/>
  <c r="AD67" i="12"/>
  <c r="Y67" i="12"/>
  <c r="P67" i="12"/>
  <c r="K67" i="12"/>
  <c r="AF66" i="12"/>
  <c r="Y66" i="12"/>
  <c r="P66" i="12"/>
  <c r="K66" i="12"/>
  <c r="AD65" i="12"/>
  <c r="K65" i="12"/>
  <c r="K107" i="12" s="1"/>
  <c r="AD64" i="12"/>
  <c r="Y64" i="12"/>
  <c r="K64" i="12"/>
  <c r="AD63" i="12"/>
  <c r="AD100" i="12" s="1"/>
  <c r="AC100" i="12" s="1"/>
  <c r="Y63" i="12"/>
  <c r="Y100" i="12" s="1"/>
  <c r="P63" i="12"/>
  <c r="P100" i="12" s="1"/>
  <c r="K63" i="12"/>
  <c r="AD62" i="12"/>
  <c r="Y62" i="12"/>
  <c r="P62" i="12"/>
  <c r="K62" i="12"/>
  <c r="AD61" i="12"/>
  <c r="Y61" i="12"/>
  <c r="P61" i="12"/>
  <c r="K61" i="12"/>
  <c r="AD60" i="12"/>
  <c r="Y60" i="12"/>
  <c r="P60" i="12"/>
  <c r="K60" i="12"/>
  <c r="AD59" i="12"/>
  <c r="Y59" i="12"/>
  <c r="P59" i="12"/>
  <c r="K59" i="12"/>
  <c r="AD58" i="12"/>
  <c r="Y58" i="12"/>
  <c r="P58" i="12"/>
  <c r="K58" i="12"/>
  <c r="AD57" i="12"/>
  <c r="Y57" i="12"/>
  <c r="P57" i="12"/>
  <c r="K57" i="12"/>
  <c r="AD56" i="12"/>
  <c r="Y56" i="12"/>
  <c r="P56" i="12"/>
  <c r="K56" i="12"/>
  <c r="AD55" i="12"/>
  <c r="Y55" i="12"/>
  <c r="P55" i="12"/>
  <c r="P38" i="12" s="1"/>
  <c r="AJ38" i="12" s="1"/>
  <c r="AQ38" i="12" s="1"/>
  <c r="K55" i="12"/>
  <c r="D54" i="12"/>
  <c r="K108" i="12"/>
  <c r="AD53" i="12"/>
  <c r="Y53" i="12"/>
  <c r="P53" i="12"/>
  <c r="Y52" i="12"/>
  <c r="P52" i="12"/>
  <c r="K52" i="12"/>
  <c r="AD51" i="12"/>
  <c r="Y51" i="12"/>
  <c r="P51" i="12"/>
  <c r="P36" i="12" s="1"/>
  <c r="K51" i="12"/>
  <c r="P50" i="12"/>
  <c r="K50" i="12"/>
  <c r="K110" i="12" s="1"/>
  <c r="D49" i="12"/>
  <c r="K49" i="12"/>
  <c r="Y48" i="12"/>
  <c r="P48" i="12"/>
  <c r="K48" i="12"/>
  <c r="AD47" i="12"/>
  <c r="Y47" i="12"/>
  <c r="Y33" i="12" s="1"/>
  <c r="AL33" i="12" s="1"/>
  <c r="AS33" i="12" s="1"/>
  <c r="P47" i="12"/>
  <c r="K47" i="12"/>
  <c r="K33" i="12" s="1"/>
  <c r="AI33" i="12" s="1"/>
  <c r="AP33" i="12" s="1"/>
  <c r="AD46" i="12"/>
  <c r="Y46" i="12"/>
  <c r="P46" i="12"/>
  <c r="K46" i="12"/>
  <c r="D46" i="12" s="1"/>
  <c r="AD45" i="12"/>
  <c r="Y45" i="12"/>
  <c r="P45" i="12"/>
  <c r="K45" i="12"/>
  <c r="AM39" i="12"/>
  <c r="AT39" i="12" s="1"/>
  <c r="AH39" i="12"/>
  <c r="AL39" i="12"/>
  <c r="AS39" i="12" s="1"/>
  <c r="AK39" i="12"/>
  <c r="AR39" i="12" s="1"/>
  <c r="AJ39" i="12"/>
  <c r="AQ39" i="12" s="1"/>
  <c r="AH38" i="12"/>
  <c r="AC38" i="12"/>
  <c r="AB38" i="12"/>
  <c r="AA38" i="12"/>
  <c r="X38" i="12"/>
  <c r="W38" i="12"/>
  <c r="V38" i="12"/>
  <c r="T38" i="12"/>
  <c r="AK38" i="12" s="1"/>
  <c r="AR38" i="12" s="1"/>
  <c r="O38" i="12"/>
  <c r="N38" i="12"/>
  <c r="M38" i="12"/>
  <c r="J38" i="12"/>
  <c r="I38" i="12"/>
  <c r="H38" i="12"/>
  <c r="G38" i="12"/>
  <c r="F38" i="12"/>
  <c r="C38" i="12"/>
  <c r="AH37" i="12"/>
  <c r="AC37" i="12"/>
  <c r="AB37" i="12"/>
  <c r="AA37" i="12"/>
  <c r="X37" i="12"/>
  <c r="W37" i="12"/>
  <c r="V37" i="12"/>
  <c r="T37" i="12"/>
  <c r="AK37" i="12" s="1"/>
  <c r="AR37" i="12" s="1"/>
  <c r="P37" i="12"/>
  <c r="AJ37" i="12" s="1"/>
  <c r="AQ37" i="12" s="1"/>
  <c r="O37" i="12"/>
  <c r="N37" i="12"/>
  <c r="M37" i="12"/>
  <c r="J37" i="12"/>
  <c r="I37" i="12"/>
  <c r="H37" i="12"/>
  <c r="G37" i="12"/>
  <c r="F37" i="12"/>
  <c r="C37" i="12"/>
  <c r="C23" i="12" s="1"/>
  <c r="AH36" i="12"/>
  <c r="AK36" i="12"/>
  <c r="AR36" i="12" s="1"/>
  <c r="BQ36" i="12" s="1"/>
  <c r="AJ36" i="12"/>
  <c r="AQ36" i="12" s="1"/>
  <c r="C25" i="12"/>
  <c r="AH35" i="12"/>
  <c r="AC35" i="12"/>
  <c r="AB35" i="12"/>
  <c r="AA35" i="12"/>
  <c r="X35" i="12"/>
  <c r="W35" i="12"/>
  <c r="V35" i="12"/>
  <c r="O35" i="12"/>
  <c r="N35" i="12"/>
  <c r="M35" i="12"/>
  <c r="J35" i="12"/>
  <c r="I35" i="12"/>
  <c r="H35" i="12"/>
  <c r="G35" i="12"/>
  <c r="F35" i="12"/>
  <c r="AH34" i="12"/>
  <c r="AD34" i="12"/>
  <c r="AM34" i="12" s="1"/>
  <c r="AT34" i="12" s="1"/>
  <c r="AC34" i="12"/>
  <c r="AB34" i="12"/>
  <c r="AA34" i="12"/>
  <c r="Y34" i="12"/>
  <c r="AL34" i="12" s="1"/>
  <c r="AS34" i="12" s="1"/>
  <c r="X34" i="12"/>
  <c r="W34" i="12"/>
  <c r="V34" i="12"/>
  <c r="T34" i="12"/>
  <c r="AK34" i="12" s="1"/>
  <c r="AR34" i="12" s="1"/>
  <c r="O34" i="12"/>
  <c r="N34" i="12"/>
  <c r="M34" i="12"/>
  <c r="K34" i="12"/>
  <c r="AI34" i="12" s="1"/>
  <c r="J34" i="12"/>
  <c r="I34" i="12"/>
  <c r="H34" i="12"/>
  <c r="G34" i="12"/>
  <c r="F34" i="12"/>
  <c r="C34" i="12"/>
  <c r="AH33" i="12"/>
  <c r="AD33" i="12"/>
  <c r="AM33" i="12" s="1"/>
  <c r="AT33" i="12" s="1"/>
  <c r="AC33" i="12"/>
  <c r="AB33" i="12"/>
  <c r="AA33" i="12"/>
  <c r="X33" i="12"/>
  <c r="W33" i="12"/>
  <c r="V33" i="12"/>
  <c r="T33" i="12"/>
  <c r="AK33" i="12" s="1"/>
  <c r="AR33" i="12" s="1"/>
  <c r="P33" i="12"/>
  <c r="AJ33" i="12" s="1"/>
  <c r="AQ33" i="12" s="1"/>
  <c r="O33" i="12"/>
  <c r="N33" i="12"/>
  <c r="M33" i="12"/>
  <c r="J33" i="12"/>
  <c r="I33" i="12"/>
  <c r="H33" i="12"/>
  <c r="G33" i="12"/>
  <c r="F33" i="12"/>
  <c r="C33" i="12"/>
  <c r="C21" i="12" s="1"/>
  <c r="AH32" i="12"/>
  <c r="AC32" i="12"/>
  <c r="AB32" i="12"/>
  <c r="AA32" i="12"/>
  <c r="Y32" i="12"/>
  <c r="AL32" i="12" s="1"/>
  <c r="AS32" i="12" s="1"/>
  <c r="BF32" i="12" s="1"/>
  <c r="X32" i="12"/>
  <c r="W32" i="12"/>
  <c r="V32" i="12"/>
  <c r="T32" i="12"/>
  <c r="AK32" i="12" s="1"/>
  <c r="AR32" i="12" s="1"/>
  <c r="O32" i="12"/>
  <c r="N32" i="12"/>
  <c r="M32" i="12"/>
  <c r="J32" i="12"/>
  <c r="I32" i="12"/>
  <c r="H32" i="12"/>
  <c r="G32" i="12"/>
  <c r="F32" i="12"/>
  <c r="C32" i="12"/>
  <c r="AH31" i="12"/>
  <c r="AC31" i="12"/>
  <c r="AB31" i="12"/>
  <c r="AA31" i="12"/>
  <c r="Y31" i="12"/>
  <c r="AL31" i="12" s="1"/>
  <c r="AS31" i="12" s="1"/>
  <c r="X31" i="12"/>
  <c r="W31" i="12"/>
  <c r="V31" i="12"/>
  <c r="T31" i="12"/>
  <c r="AK31" i="12" s="1"/>
  <c r="AR31" i="12" s="1"/>
  <c r="P31" i="12"/>
  <c r="AJ31" i="12" s="1"/>
  <c r="AQ31" i="12" s="1"/>
  <c r="O31" i="12"/>
  <c r="N31" i="12"/>
  <c r="M31" i="12"/>
  <c r="K31" i="12"/>
  <c r="AI31" i="12" s="1"/>
  <c r="AP31" i="12" s="1"/>
  <c r="BC31" i="12" s="1"/>
  <c r="J31" i="12"/>
  <c r="I31" i="12"/>
  <c r="H31" i="12"/>
  <c r="G31" i="12"/>
  <c r="F31" i="12"/>
  <c r="C31" i="12"/>
  <c r="AH30" i="12"/>
  <c r="AD30" i="12"/>
  <c r="AM30" i="12" s="1"/>
  <c r="AT30" i="12" s="1"/>
  <c r="AC30" i="12"/>
  <c r="AB30" i="12"/>
  <c r="AA30" i="12"/>
  <c r="Y30" i="12"/>
  <c r="AL30" i="12" s="1"/>
  <c r="AS30" i="12" s="1"/>
  <c r="X30" i="12"/>
  <c r="W30" i="12"/>
  <c r="V30" i="12"/>
  <c r="T30" i="12"/>
  <c r="AK30" i="12" s="1"/>
  <c r="AR30" i="12" s="1"/>
  <c r="P30" i="12"/>
  <c r="AJ30" i="12" s="1"/>
  <c r="AQ30" i="12" s="1"/>
  <c r="O30" i="12"/>
  <c r="N30" i="12"/>
  <c r="M30" i="12"/>
  <c r="K30" i="12"/>
  <c r="AI30" i="12" s="1"/>
  <c r="J30" i="12"/>
  <c r="I30" i="12"/>
  <c r="H30" i="12"/>
  <c r="G30" i="12"/>
  <c r="F30" i="12"/>
  <c r="D30" i="12"/>
  <c r="C30" i="12"/>
  <c r="AH29" i="12"/>
  <c r="AK29" i="12"/>
  <c r="AR29" i="12" s="1"/>
  <c r="AI29" i="12"/>
  <c r="AP29" i="12" s="1"/>
  <c r="AH28" i="12"/>
  <c r="AC28" i="12"/>
  <c r="AB28" i="12"/>
  <c r="AA28" i="12"/>
  <c r="Y28" i="12"/>
  <c r="AL28" i="12" s="1"/>
  <c r="AS28" i="12" s="1"/>
  <c r="X28" i="12"/>
  <c r="W28" i="12"/>
  <c r="V28" i="12"/>
  <c r="T28" i="12"/>
  <c r="AK28" i="12" s="1"/>
  <c r="AR28" i="12" s="1"/>
  <c r="O28" i="12"/>
  <c r="N28" i="12"/>
  <c r="M28" i="12"/>
  <c r="J28" i="12"/>
  <c r="I28" i="12"/>
  <c r="H28" i="12"/>
  <c r="G28" i="12"/>
  <c r="F28" i="12"/>
  <c r="C28" i="12"/>
  <c r="AH27" i="12"/>
  <c r="AK27" i="12"/>
  <c r="Y25" i="12"/>
  <c r="P25" i="12"/>
  <c r="K25" i="12"/>
  <c r="Y24" i="12"/>
  <c r="P24" i="12"/>
  <c r="K24" i="12"/>
  <c r="P23" i="12"/>
  <c r="Y22" i="12"/>
  <c r="P22" i="12"/>
  <c r="C22" i="12"/>
  <c r="Y21" i="12"/>
  <c r="K21" i="12"/>
  <c r="Y20" i="12"/>
  <c r="P20" i="12"/>
  <c r="AC15" i="12"/>
  <c r="AB15" i="12"/>
  <c r="AA15" i="12"/>
  <c r="X15" i="12"/>
  <c r="W15" i="12"/>
  <c r="W17" i="12" s="1"/>
  <c r="V15" i="12"/>
  <c r="O15" i="12"/>
  <c r="N15" i="12"/>
  <c r="M15" i="12"/>
  <c r="J15" i="12"/>
  <c r="I15" i="12"/>
  <c r="I17" i="12" s="1"/>
  <c r="H15" i="12"/>
  <c r="G15" i="12"/>
  <c r="F15" i="12"/>
  <c r="AC10" i="12"/>
  <c r="AB10" i="12"/>
  <c r="X10" i="12"/>
  <c r="W10" i="12"/>
  <c r="V10" i="12"/>
  <c r="O10" i="12"/>
  <c r="N10" i="12"/>
  <c r="M10" i="12"/>
  <c r="J10" i="12"/>
  <c r="I10" i="12"/>
  <c r="H10" i="12"/>
  <c r="G10" i="12"/>
  <c r="F10" i="12"/>
  <c r="AA10" i="12"/>
  <c r="P8" i="12"/>
  <c r="K8" i="12"/>
  <c r="V4" i="12"/>
  <c r="AD3" i="12"/>
  <c r="AA3" i="12"/>
  <c r="K67" i="10"/>
  <c r="C67" i="9"/>
  <c r="AD110" i="11"/>
  <c r="Y110" i="11"/>
  <c r="AD108" i="11"/>
  <c r="AC108" i="11" s="1"/>
  <c r="Y108" i="11"/>
  <c r="W108" i="11" s="1"/>
  <c r="Y107" i="11"/>
  <c r="P107" i="11"/>
  <c r="N107" i="11" s="1"/>
  <c r="AF106" i="11"/>
  <c r="D106" i="11"/>
  <c r="AF105" i="11"/>
  <c r="D105" i="11"/>
  <c r="AF98" i="11"/>
  <c r="D98" i="11"/>
  <c r="AF97" i="11"/>
  <c r="AD92" i="11"/>
  <c r="Y92" i="11"/>
  <c r="AD90" i="11"/>
  <c r="Y90" i="11"/>
  <c r="P90" i="11"/>
  <c r="K90" i="11"/>
  <c r="AD89" i="11"/>
  <c r="Y89" i="11"/>
  <c r="Y38" i="11" s="1"/>
  <c r="AL38" i="11" s="1"/>
  <c r="AS38" i="11" s="1"/>
  <c r="P89" i="11"/>
  <c r="K89" i="11"/>
  <c r="AD88" i="11"/>
  <c r="Y88" i="11"/>
  <c r="P88" i="11"/>
  <c r="K88" i="11"/>
  <c r="AD87" i="11"/>
  <c r="Y87" i="11"/>
  <c r="P87" i="11"/>
  <c r="K87" i="11"/>
  <c r="AD86" i="11"/>
  <c r="Y86" i="11"/>
  <c r="P86" i="11"/>
  <c r="K86" i="11"/>
  <c r="AD85" i="11"/>
  <c r="Y85" i="11"/>
  <c r="P85" i="11"/>
  <c r="K85" i="11"/>
  <c r="AD84" i="11"/>
  <c r="Y84" i="11"/>
  <c r="P84" i="11"/>
  <c r="K84" i="11"/>
  <c r="Y83" i="11"/>
  <c r="P83" i="11"/>
  <c r="K83" i="11"/>
  <c r="AD82" i="11"/>
  <c r="Y82" i="11"/>
  <c r="P82" i="11"/>
  <c r="P102" i="11" s="1"/>
  <c r="AD81" i="11"/>
  <c r="Y81" i="11"/>
  <c r="P81" i="11"/>
  <c r="K81" i="11"/>
  <c r="D78" i="11"/>
  <c r="K77" i="11"/>
  <c r="Y76" i="11"/>
  <c r="P76" i="11"/>
  <c r="K76" i="11"/>
  <c r="Y75" i="11"/>
  <c r="P75" i="11"/>
  <c r="K75" i="11"/>
  <c r="P96" i="11"/>
  <c r="AD72" i="11"/>
  <c r="AD71" i="11"/>
  <c r="AD70" i="11"/>
  <c r="AD33" i="11" s="1"/>
  <c r="AM33" i="11" s="1"/>
  <c r="AT33" i="11" s="1"/>
  <c r="Y70" i="11"/>
  <c r="P70" i="11"/>
  <c r="K70" i="11"/>
  <c r="AD69" i="11"/>
  <c r="Y69" i="11"/>
  <c r="P69" i="11"/>
  <c r="P99" i="11" s="1"/>
  <c r="K69" i="11"/>
  <c r="AD68" i="11"/>
  <c r="Y68" i="11"/>
  <c r="P68" i="11"/>
  <c r="K68" i="11"/>
  <c r="AD67" i="11"/>
  <c r="AD32" i="11" s="1"/>
  <c r="AM32" i="11" s="1"/>
  <c r="AT32" i="11" s="1"/>
  <c r="Y67" i="11"/>
  <c r="P67" i="11"/>
  <c r="K67" i="11"/>
  <c r="AF66" i="11"/>
  <c r="Y66" i="11"/>
  <c r="P66" i="11"/>
  <c r="K66" i="11"/>
  <c r="K64" i="11"/>
  <c r="AD63" i="11"/>
  <c r="AD100" i="11" s="1"/>
  <c r="AC100" i="11" s="1"/>
  <c r="Y63" i="11"/>
  <c r="Y100" i="11" s="1"/>
  <c r="P63" i="11"/>
  <c r="P100" i="11" s="1"/>
  <c r="K63" i="11"/>
  <c r="K100" i="11" s="1"/>
  <c r="AD62" i="11"/>
  <c r="Y62" i="11"/>
  <c r="P62" i="11"/>
  <c r="K62" i="11"/>
  <c r="AD61" i="11"/>
  <c r="Y61" i="11"/>
  <c r="P61" i="11"/>
  <c r="K61" i="11"/>
  <c r="AD60" i="11"/>
  <c r="Y60" i="11"/>
  <c r="P60" i="11"/>
  <c r="K60" i="11"/>
  <c r="AD59" i="11"/>
  <c r="Y59" i="11"/>
  <c r="P59" i="11"/>
  <c r="K59" i="11"/>
  <c r="D59" i="11" s="1"/>
  <c r="AD58" i="11"/>
  <c r="Y58" i="11"/>
  <c r="P58" i="11"/>
  <c r="K58" i="11"/>
  <c r="AD57" i="11"/>
  <c r="Y57" i="11"/>
  <c r="P57" i="11"/>
  <c r="K57" i="11"/>
  <c r="AD56" i="11"/>
  <c r="Y56" i="11"/>
  <c r="P56" i="11"/>
  <c r="K56" i="11"/>
  <c r="AD55" i="11"/>
  <c r="Y55" i="11"/>
  <c r="P55" i="11"/>
  <c r="P38" i="11" s="1"/>
  <c r="AJ38" i="11" s="1"/>
  <c r="AQ38" i="11" s="1"/>
  <c r="K55" i="11"/>
  <c r="P108" i="11"/>
  <c r="M108" i="11" s="1"/>
  <c r="K108" i="11"/>
  <c r="AD53" i="11"/>
  <c r="Y53" i="11"/>
  <c r="P53" i="11"/>
  <c r="Y52" i="11"/>
  <c r="P52" i="11"/>
  <c r="K52" i="11"/>
  <c r="D52" i="11" s="1"/>
  <c r="AD51" i="11"/>
  <c r="Y51" i="11"/>
  <c r="P51" i="11"/>
  <c r="K51" i="11"/>
  <c r="P50" i="11"/>
  <c r="P110" i="11" s="1"/>
  <c r="K50" i="11"/>
  <c r="K110" i="11" s="1"/>
  <c r="K49" i="11"/>
  <c r="K36" i="11" s="1"/>
  <c r="AI36" i="11" s="1"/>
  <c r="AP36" i="11" s="1"/>
  <c r="Y48" i="11"/>
  <c r="P48" i="11"/>
  <c r="K48" i="11"/>
  <c r="C35" i="11"/>
  <c r="C24" i="11" s="1"/>
  <c r="AD47" i="11"/>
  <c r="Y47" i="11"/>
  <c r="P47" i="11"/>
  <c r="K47" i="11"/>
  <c r="AD46" i="11"/>
  <c r="Y46" i="11"/>
  <c r="Y32" i="11" s="1"/>
  <c r="AL32" i="11" s="1"/>
  <c r="AS32" i="11" s="1"/>
  <c r="P46" i="11"/>
  <c r="K46" i="11"/>
  <c r="D46" i="11" s="1"/>
  <c r="AD45" i="11"/>
  <c r="Y45" i="11"/>
  <c r="P45" i="11"/>
  <c r="K45" i="11"/>
  <c r="AL39" i="11"/>
  <c r="AS39" i="11" s="1"/>
  <c r="BF39" i="11" s="1"/>
  <c r="AH39" i="11"/>
  <c r="AM39" i="11"/>
  <c r="AT39" i="11" s="1"/>
  <c r="AK39" i="11"/>
  <c r="AR39" i="11" s="1"/>
  <c r="AJ39" i="11"/>
  <c r="AQ39" i="11" s="1"/>
  <c r="AH38" i="11"/>
  <c r="AD38" i="11"/>
  <c r="AM38" i="11" s="1"/>
  <c r="AT38" i="11" s="1"/>
  <c r="AC38" i="11"/>
  <c r="AB38" i="11"/>
  <c r="AA38" i="11"/>
  <c r="X38" i="11"/>
  <c r="W38" i="11"/>
  <c r="V38" i="11"/>
  <c r="T38" i="11"/>
  <c r="AK38" i="11" s="1"/>
  <c r="AR38" i="11" s="1"/>
  <c r="O38" i="11"/>
  <c r="N38" i="11"/>
  <c r="M38" i="11"/>
  <c r="J38" i="11"/>
  <c r="I38" i="11"/>
  <c r="H38" i="11"/>
  <c r="G38" i="11"/>
  <c r="F38" i="11"/>
  <c r="C38" i="11"/>
  <c r="AH37" i="11"/>
  <c r="AC37" i="11"/>
  <c r="AB37" i="11"/>
  <c r="AA37" i="11"/>
  <c r="X37" i="11"/>
  <c r="W37" i="11"/>
  <c r="V37" i="11"/>
  <c r="T37" i="11"/>
  <c r="AK37" i="11" s="1"/>
  <c r="AR37" i="11" s="1"/>
  <c r="BQ37" i="11" s="1"/>
  <c r="P37" i="11"/>
  <c r="AJ37" i="11" s="1"/>
  <c r="AQ37" i="11" s="1"/>
  <c r="O37" i="11"/>
  <c r="N37" i="11"/>
  <c r="M37" i="11"/>
  <c r="J37" i="11"/>
  <c r="I37" i="11"/>
  <c r="H37" i="11"/>
  <c r="G37" i="11"/>
  <c r="F37" i="11"/>
  <c r="C37" i="11"/>
  <c r="AH36" i="11"/>
  <c r="AK36" i="11"/>
  <c r="AR36" i="11" s="1"/>
  <c r="AH35" i="11"/>
  <c r="AC35" i="11"/>
  <c r="AB35" i="11"/>
  <c r="AA35" i="11"/>
  <c r="Y35" i="11"/>
  <c r="AL35" i="11" s="1"/>
  <c r="AS35" i="11" s="1"/>
  <c r="X35" i="11"/>
  <c r="W35" i="11"/>
  <c r="V35" i="11"/>
  <c r="O35" i="11"/>
  <c r="N35" i="11"/>
  <c r="M35" i="11"/>
  <c r="J35" i="11"/>
  <c r="I35" i="11"/>
  <c r="H35" i="11"/>
  <c r="G35" i="11"/>
  <c r="F35" i="11"/>
  <c r="AH34" i="11"/>
  <c r="AD34" i="11"/>
  <c r="AM34" i="11" s="1"/>
  <c r="AT34" i="11" s="1"/>
  <c r="AC34" i="11"/>
  <c r="AB34" i="11"/>
  <c r="AA34" i="11"/>
  <c r="Y34" i="11"/>
  <c r="AL34" i="11" s="1"/>
  <c r="AS34" i="11" s="1"/>
  <c r="X34" i="11"/>
  <c r="W34" i="11"/>
  <c r="V34" i="11"/>
  <c r="T34" i="11"/>
  <c r="AK34" i="11" s="1"/>
  <c r="AR34" i="11" s="1"/>
  <c r="P34" i="11"/>
  <c r="AJ34" i="11" s="1"/>
  <c r="AQ34" i="11" s="1"/>
  <c r="O34" i="11"/>
  <c r="N34" i="11"/>
  <c r="M34" i="11"/>
  <c r="J34" i="11"/>
  <c r="I34" i="11"/>
  <c r="H34" i="11"/>
  <c r="G34" i="11"/>
  <c r="F34" i="11"/>
  <c r="C34" i="11"/>
  <c r="AH33" i="11"/>
  <c r="AC33" i="11"/>
  <c r="AB33" i="11"/>
  <c r="AA33" i="11"/>
  <c r="Y33" i="11"/>
  <c r="AL33" i="11" s="1"/>
  <c r="AS33" i="11" s="1"/>
  <c r="X33" i="11"/>
  <c r="W33" i="11"/>
  <c r="V33" i="11"/>
  <c r="T33" i="11"/>
  <c r="AK33" i="11" s="1"/>
  <c r="AR33" i="11" s="1"/>
  <c r="O33" i="11"/>
  <c r="N33" i="11"/>
  <c r="M33" i="11"/>
  <c r="J33" i="11"/>
  <c r="I33" i="11"/>
  <c r="H33" i="11"/>
  <c r="G33" i="11"/>
  <c r="F33" i="11"/>
  <c r="C33" i="11"/>
  <c r="AH32" i="11"/>
  <c r="AC32" i="11"/>
  <c r="AB32" i="11"/>
  <c r="AA32" i="11"/>
  <c r="X32" i="11"/>
  <c r="W32" i="11"/>
  <c r="V32" i="11"/>
  <c r="T32" i="11"/>
  <c r="AK32" i="11" s="1"/>
  <c r="AR32" i="11" s="1"/>
  <c r="P32" i="11"/>
  <c r="AJ32" i="11" s="1"/>
  <c r="AQ32" i="11" s="1"/>
  <c r="O32" i="11"/>
  <c r="N32" i="11"/>
  <c r="M32" i="11"/>
  <c r="J32" i="11"/>
  <c r="I32" i="11"/>
  <c r="H32" i="11"/>
  <c r="G32" i="11"/>
  <c r="F32" i="11"/>
  <c r="C32" i="11"/>
  <c r="C22" i="11" s="1"/>
  <c r="AH31" i="11"/>
  <c r="AD31" i="11"/>
  <c r="AM31" i="11" s="1"/>
  <c r="AT31" i="11" s="1"/>
  <c r="AC31" i="11"/>
  <c r="AB31" i="11"/>
  <c r="AA31" i="11"/>
  <c r="Y31" i="11"/>
  <c r="AL31" i="11" s="1"/>
  <c r="AS31" i="11" s="1"/>
  <c r="X31" i="11"/>
  <c r="W31" i="11"/>
  <c r="V31" i="11"/>
  <c r="T31" i="11"/>
  <c r="AK31" i="11" s="1"/>
  <c r="AR31" i="11" s="1"/>
  <c r="P31" i="11"/>
  <c r="AJ31" i="11" s="1"/>
  <c r="AQ31" i="11" s="1"/>
  <c r="O31" i="11"/>
  <c r="N31" i="11"/>
  <c r="M31" i="11"/>
  <c r="K31" i="11"/>
  <c r="AI31" i="11" s="1"/>
  <c r="AP31" i="11" s="1"/>
  <c r="J31" i="11"/>
  <c r="I31" i="11"/>
  <c r="H31" i="11"/>
  <c r="G31" i="11"/>
  <c r="F31" i="11"/>
  <c r="C31" i="11"/>
  <c r="AH30" i="11"/>
  <c r="AD30" i="11"/>
  <c r="AM30" i="11" s="1"/>
  <c r="AT30" i="11" s="1"/>
  <c r="AC30" i="11"/>
  <c r="AB30" i="11"/>
  <c r="AA30" i="11"/>
  <c r="Y30" i="11"/>
  <c r="AL30" i="11" s="1"/>
  <c r="AS30" i="11" s="1"/>
  <c r="X30" i="11"/>
  <c r="W30" i="11"/>
  <c r="V30" i="11"/>
  <c r="T30" i="11"/>
  <c r="AK30" i="11" s="1"/>
  <c r="AR30" i="11" s="1"/>
  <c r="P30" i="11"/>
  <c r="AJ30" i="11" s="1"/>
  <c r="AQ30" i="11" s="1"/>
  <c r="O30" i="11"/>
  <c r="N30" i="11"/>
  <c r="M30" i="11"/>
  <c r="K30" i="11"/>
  <c r="AI30" i="11" s="1"/>
  <c r="J30" i="11"/>
  <c r="I30" i="11"/>
  <c r="H30" i="11"/>
  <c r="G30" i="11"/>
  <c r="F30" i="11"/>
  <c r="C30" i="11"/>
  <c r="AH29" i="11"/>
  <c r="AK29" i="11"/>
  <c r="AR29" i="11" s="1"/>
  <c r="AI29" i="11"/>
  <c r="AP29" i="11" s="1"/>
  <c r="BO29" i="11" s="1"/>
  <c r="AH28" i="11"/>
  <c r="AD28" i="11"/>
  <c r="AM28" i="11" s="1"/>
  <c r="AT28" i="11" s="1"/>
  <c r="AC28" i="11"/>
  <c r="AB28" i="11"/>
  <c r="AA28" i="11"/>
  <c r="Y28" i="11"/>
  <c r="AL28" i="11" s="1"/>
  <c r="AS28" i="11" s="1"/>
  <c r="BF28" i="11" s="1"/>
  <c r="X28" i="11"/>
  <c r="W28" i="11"/>
  <c r="V28" i="11"/>
  <c r="T28" i="11"/>
  <c r="AK28" i="11" s="1"/>
  <c r="AR28" i="11" s="1"/>
  <c r="CC28" i="11" s="1"/>
  <c r="P28" i="11"/>
  <c r="AJ28" i="11" s="1"/>
  <c r="AQ28" i="11" s="1"/>
  <c r="O28" i="11"/>
  <c r="N28" i="11"/>
  <c r="M28" i="11"/>
  <c r="K28" i="11"/>
  <c r="AI28" i="11" s="1"/>
  <c r="J28" i="11"/>
  <c r="I28" i="11"/>
  <c r="H28" i="11"/>
  <c r="G28" i="11"/>
  <c r="F28" i="11"/>
  <c r="C28" i="11"/>
  <c r="AH27" i="11"/>
  <c r="AK27" i="11"/>
  <c r="AR27" i="11" s="1"/>
  <c r="BE27" i="11" s="1"/>
  <c r="Y25" i="11"/>
  <c r="P25" i="11"/>
  <c r="K25" i="11"/>
  <c r="C25" i="11"/>
  <c r="Y24" i="11"/>
  <c r="P24" i="11"/>
  <c r="K24" i="11"/>
  <c r="P23" i="11"/>
  <c r="Y22" i="11"/>
  <c r="P22" i="11"/>
  <c r="Y21" i="11"/>
  <c r="K21" i="11"/>
  <c r="Y20" i="11"/>
  <c r="P20" i="11"/>
  <c r="AC15" i="11"/>
  <c r="AB15" i="11"/>
  <c r="AA15" i="11"/>
  <c r="X15" i="11"/>
  <c r="W15" i="11"/>
  <c r="V15" i="11"/>
  <c r="O15" i="11"/>
  <c r="N15" i="11"/>
  <c r="M15" i="11"/>
  <c r="J15" i="11"/>
  <c r="I15" i="11"/>
  <c r="H15" i="11"/>
  <c r="G15" i="11"/>
  <c r="F15" i="11"/>
  <c r="AC10" i="11"/>
  <c r="AB10" i="11"/>
  <c r="X10" i="11"/>
  <c r="W10" i="11"/>
  <c r="V10" i="11"/>
  <c r="O10" i="11"/>
  <c r="N10" i="11"/>
  <c r="M10" i="11"/>
  <c r="J10" i="11"/>
  <c r="I10" i="11"/>
  <c r="H10" i="11"/>
  <c r="G10" i="11"/>
  <c r="F10" i="11"/>
  <c r="AA10" i="11"/>
  <c r="P8" i="11"/>
  <c r="K8" i="11"/>
  <c r="V4" i="11"/>
  <c r="AD3" i="11"/>
  <c r="AA3" i="11"/>
  <c r="AD110" i="10"/>
  <c r="Y110" i="10"/>
  <c r="AD108" i="10"/>
  <c r="AC108" i="10" s="1"/>
  <c r="Y108" i="10"/>
  <c r="W108" i="10" s="1"/>
  <c r="X108" i="10"/>
  <c r="Y107" i="10"/>
  <c r="P107" i="10"/>
  <c r="O107" i="10" s="1"/>
  <c r="AF106" i="10"/>
  <c r="D106" i="10"/>
  <c r="AF105" i="10"/>
  <c r="D105" i="10"/>
  <c r="AF98" i="10"/>
  <c r="D98" i="10"/>
  <c r="AF97" i="10"/>
  <c r="AD92" i="10"/>
  <c r="Y92" i="10"/>
  <c r="AD90" i="10"/>
  <c r="Y90" i="10"/>
  <c r="P90" i="10"/>
  <c r="K90" i="10"/>
  <c r="AD89" i="10"/>
  <c r="Y89" i="10"/>
  <c r="P89" i="10"/>
  <c r="K89" i="10"/>
  <c r="AD88" i="10"/>
  <c r="Y88" i="10"/>
  <c r="P88" i="10"/>
  <c r="K88" i="10"/>
  <c r="AD87" i="10"/>
  <c r="Y87" i="10"/>
  <c r="P87" i="10"/>
  <c r="K87" i="10"/>
  <c r="AD86" i="10"/>
  <c r="Y86" i="10"/>
  <c r="P86" i="10"/>
  <c r="K86" i="10"/>
  <c r="AD85" i="10"/>
  <c r="Y85" i="10"/>
  <c r="P85" i="10"/>
  <c r="K85" i="10"/>
  <c r="AD84" i="10"/>
  <c r="Y84" i="10"/>
  <c r="P84" i="10"/>
  <c r="K84" i="10"/>
  <c r="Y83" i="10"/>
  <c r="P83" i="10"/>
  <c r="K83" i="10"/>
  <c r="AD82" i="10"/>
  <c r="Y82" i="10"/>
  <c r="P82" i="10"/>
  <c r="AD81" i="10"/>
  <c r="Y81" i="10"/>
  <c r="P81" i="10"/>
  <c r="D81" i="10" s="1"/>
  <c r="K81" i="10"/>
  <c r="K77" i="10"/>
  <c r="Y76" i="10"/>
  <c r="P76" i="10"/>
  <c r="K76" i="10"/>
  <c r="Y75" i="10"/>
  <c r="P75" i="10"/>
  <c r="K75" i="10"/>
  <c r="P96" i="10"/>
  <c r="AD72" i="10"/>
  <c r="AD71" i="10"/>
  <c r="AD70" i="10"/>
  <c r="AD33" i="10" s="1"/>
  <c r="AM33" i="10" s="1"/>
  <c r="AT33" i="10" s="1"/>
  <c r="Y70" i="10"/>
  <c r="P70" i="10"/>
  <c r="K70" i="10"/>
  <c r="AD69" i="10"/>
  <c r="Y69" i="10"/>
  <c r="Y99" i="10" s="1"/>
  <c r="P69" i="10"/>
  <c r="P99" i="10" s="1"/>
  <c r="K69" i="10"/>
  <c r="AD68" i="10"/>
  <c r="Y68" i="10"/>
  <c r="P68" i="10"/>
  <c r="K68" i="10"/>
  <c r="AD67" i="10"/>
  <c r="AD32" i="10" s="1"/>
  <c r="AM32" i="10" s="1"/>
  <c r="AT32" i="10" s="1"/>
  <c r="Y67" i="10"/>
  <c r="P67" i="10"/>
  <c r="AF66" i="10"/>
  <c r="Y66" i="10"/>
  <c r="P66" i="10"/>
  <c r="K66" i="10"/>
  <c r="D65" i="10"/>
  <c r="D31" i="10" s="1"/>
  <c r="AD63" i="10"/>
  <c r="AD100" i="10" s="1"/>
  <c r="AC100" i="10" s="1"/>
  <c r="Y63" i="10"/>
  <c r="Y100" i="10" s="1"/>
  <c r="P63" i="10"/>
  <c r="P100" i="10" s="1"/>
  <c r="K63" i="10"/>
  <c r="K100" i="10" s="1"/>
  <c r="AD62" i="10"/>
  <c r="Y62" i="10"/>
  <c r="P62" i="10"/>
  <c r="K62" i="10"/>
  <c r="AD61" i="10"/>
  <c r="Y61" i="10"/>
  <c r="P61" i="10"/>
  <c r="K61" i="10"/>
  <c r="AD60" i="10"/>
  <c r="Y60" i="10"/>
  <c r="P60" i="10"/>
  <c r="K60" i="10"/>
  <c r="AD59" i="10"/>
  <c r="Y59" i="10"/>
  <c r="P59" i="10"/>
  <c r="K59" i="10"/>
  <c r="AD58" i="10"/>
  <c r="Y58" i="10"/>
  <c r="P58" i="10"/>
  <c r="K58" i="10"/>
  <c r="AD57" i="10"/>
  <c r="Y57" i="10"/>
  <c r="P57" i="10"/>
  <c r="K57" i="10"/>
  <c r="AD56" i="10"/>
  <c r="Y56" i="10"/>
  <c r="P56" i="10"/>
  <c r="K56" i="10"/>
  <c r="AD55" i="10"/>
  <c r="AD38" i="10" s="1"/>
  <c r="AM38" i="10" s="1"/>
  <c r="AT38" i="10" s="1"/>
  <c r="Y55" i="10"/>
  <c r="P55" i="10"/>
  <c r="P38" i="10" s="1"/>
  <c r="AJ38" i="10" s="1"/>
  <c r="AQ38" i="10" s="1"/>
  <c r="K55" i="10"/>
  <c r="P108" i="10"/>
  <c r="M108" i="10" s="1"/>
  <c r="K108" i="10"/>
  <c r="AD53" i="10"/>
  <c r="Y53" i="10"/>
  <c r="P53" i="10"/>
  <c r="Y52" i="10"/>
  <c r="P52" i="10"/>
  <c r="K52" i="10"/>
  <c r="AD51" i="10"/>
  <c r="Y51" i="10"/>
  <c r="P51" i="10"/>
  <c r="P36" i="10" s="1"/>
  <c r="AJ36" i="10" s="1"/>
  <c r="AQ36" i="10" s="1"/>
  <c r="K51" i="10"/>
  <c r="P50" i="10"/>
  <c r="P110" i="10" s="1"/>
  <c r="K50" i="10"/>
  <c r="K110" i="10" s="1"/>
  <c r="K49" i="10"/>
  <c r="D49" i="10" s="1"/>
  <c r="Y48" i="10"/>
  <c r="P48" i="10"/>
  <c r="K48" i="10"/>
  <c r="AD47" i="10"/>
  <c r="Y47" i="10"/>
  <c r="Y33" i="10" s="1"/>
  <c r="AL33" i="10" s="1"/>
  <c r="AS33" i="10" s="1"/>
  <c r="P47" i="10"/>
  <c r="K47" i="10"/>
  <c r="AD46" i="10"/>
  <c r="Y46" i="10"/>
  <c r="P46" i="10"/>
  <c r="P32" i="10" s="1"/>
  <c r="AJ32" i="10" s="1"/>
  <c r="AQ32" i="10" s="1"/>
  <c r="K46" i="10"/>
  <c r="AD45" i="10"/>
  <c r="Y45" i="10"/>
  <c r="P45" i="10"/>
  <c r="K45" i="10"/>
  <c r="AH39" i="10"/>
  <c r="AM39" i="10"/>
  <c r="AT39" i="10" s="1"/>
  <c r="AL39" i="10"/>
  <c r="AS39" i="10" s="1"/>
  <c r="AK39" i="10"/>
  <c r="AR39" i="10" s="1"/>
  <c r="AJ39" i="10"/>
  <c r="AQ39" i="10" s="1"/>
  <c r="AH38" i="10"/>
  <c r="AC38" i="10"/>
  <c r="AB38" i="10"/>
  <c r="AA38" i="10"/>
  <c r="X38" i="10"/>
  <c r="W38" i="10"/>
  <c r="V38" i="10"/>
  <c r="T38" i="10"/>
  <c r="AK38" i="10" s="1"/>
  <c r="AR38" i="10" s="1"/>
  <c r="O38" i="10"/>
  <c r="N38" i="10"/>
  <c r="M38" i="10"/>
  <c r="J38" i="10"/>
  <c r="I38" i="10"/>
  <c r="H38" i="10"/>
  <c r="G38" i="10"/>
  <c r="F38" i="10"/>
  <c r="C38" i="10"/>
  <c r="AH37" i="10"/>
  <c r="AC37" i="10"/>
  <c r="AB37" i="10"/>
  <c r="AA37" i="10"/>
  <c r="X37" i="10"/>
  <c r="W37" i="10"/>
  <c r="V37" i="10"/>
  <c r="T37" i="10"/>
  <c r="AK37" i="10" s="1"/>
  <c r="AR37" i="10" s="1"/>
  <c r="P37" i="10"/>
  <c r="AJ37" i="10" s="1"/>
  <c r="AQ37" i="10" s="1"/>
  <c r="O37" i="10"/>
  <c r="N37" i="10"/>
  <c r="M37" i="10"/>
  <c r="J37" i="10"/>
  <c r="I37" i="10"/>
  <c r="H37" i="10"/>
  <c r="G37" i="10"/>
  <c r="F37" i="10"/>
  <c r="C37" i="10"/>
  <c r="AH36" i="10"/>
  <c r="AK36" i="10"/>
  <c r="AR36" i="10" s="1"/>
  <c r="AH35" i="10"/>
  <c r="AC35" i="10"/>
  <c r="AB35" i="10"/>
  <c r="AA35" i="10"/>
  <c r="Y35" i="10"/>
  <c r="AL35" i="10" s="1"/>
  <c r="AS35" i="10" s="1"/>
  <c r="X35" i="10"/>
  <c r="W35" i="10"/>
  <c r="V35" i="10"/>
  <c r="O35" i="10"/>
  <c r="N35" i="10"/>
  <c r="M35" i="10"/>
  <c r="J35" i="10"/>
  <c r="I35" i="10"/>
  <c r="H35" i="10"/>
  <c r="G35" i="10"/>
  <c r="F35" i="10"/>
  <c r="AH34" i="10"/>
  <c r="AD34" i="10"/>
  <c r="AM34" i="10" s="1"/>
  <c r="AT34" i="10" s="1"/>
  <c r="AC34" i="10"/>
  <c r="AB34" i="10"/>
  <c r="AA34" i="10"/>
  <c r="Y34" i="10"/>
  <c r="AL34" i="10" s="1"/>
  <c r="AS34" i="10" s="1"/>
  <c r="X34" i="10"/>
  <c r="W34" i="10"/>
  <c r="V34" i="10"/>
  <c r="T34" i="10"/>
  <c r="AK34" i="10" s="1"/>
  <c r="AR34" i="10" s="1"/>
  <c r="O34" i="10"/>
  <c r="N34" i="10"/>
  <c r="M34" i="10"/>
  <c r="K34" i="10"/>
  <c r="AI34" i="10" s="1"/>
  <c r="J34" i="10"/>
  <c r="I34" i="10"/>
  <c r="H34" i="10"/>
  <c r="G34" i="10"/>
  <c r="F34" i="10"/>
  <c r="C34" i="10"/>
  <c r="AH33" i="10"/>
  <c r="AC33" i="10"/>
  <c r="AB33" i="10"/>
  <c r="AA33" i="10"/>
  <c r="X33" i="10"/>
  <c r="W33" i="10"/>
  <c r="V33" i="10"/>
  <c r="T33" i="10"/>
  <c r="AK33" i="10" s="1"/>
  <c r="AR33" i="10" s="1"/>
  <c r="O33" i="10"/>
  <c r="N33" i="10"/>
  <c r="M33" i="10"/>
  <c r="J33" i="10"/>
  <c r="I33" i="10"/>
  <c r="H33" i="10"/>
  <c r="G33" i="10"/>
  <c r="F33" i="10"/>
  <c r="C33" i="10"/>
  <c r="C21" i="10" s="1"/>
  <c r="AH32" i="10"/>
  <c r="AC32" i="10"/>
  <c r="AB32" i="10"/>
  <c r="AA32" i="10"/>
  <c r="X32" i="10"/>
  <c r="W32" i="10"/>
  <c r="V32" i="10"/>
  <c r="T32" i="10"/>
  <c r="AK32" i="10" s="1"/>
  <c r="AR32" i="10" s="1"/>
  <c r="O32" i="10"/>
  <c r="N32" i="10"/>
  <c r="M32" i="10"/>
  <c r="J32" i="10"/>
  <c r="I32" i="10"/>
  <c r="H32" i="10"/>
  <c r="G32" i="10"/>
  <c r="F32" i="10"/>
  <c r="C32" i="10"/>
  <c r="C22" i="10" s="1"/>
  <c r="AH31" i="10"/>
  <c r="AD31" i="10"/>
  <c r="AM31" i="10" s="1"/>
  <c r="AT31" i="10" s="1"/>
  <c r="AC31" i="10"/>
  <c r="AB31" i="10"/>
  <c r="AA31" i="10"/>
  <c r="Y31" i="10"/>
  <c r="AL31" i="10" s="1"/>
  <c r="AS31" i="10" s="1"/>
  <c r="X31" i="10"/>
  <c r="W31" i="10"/>
  <c r="V31" i="10"/>
  <c r="T31" i="10"/>
  <c r="AK31" i="10" s="1"/>
  <c r="AR31" i="10" s="1"/>
  <c r="P31" i="10"/>
  <c r="AJ31" i="10" s="1"/>
  <c r="AQ31" i="10" s="1"/>
  <c r="O31" i="10"/>
  <c r="N31" i="10"/>
  <c r="M31" i="10"/>
  <c r="J31" i="10"/>
  <c r="I31" i="10"/>
  <c r="H31" i="10"/>
  <c r="G31" i="10"/>
  <c r="F31" i="10"/>
  <c r="C31" i="10"/>
  <c r="AH30" i="10"/>
  <c r="AD30" i="10"/>
  <c r="AM30" i="10" s="1"/>
  <c r="AT30" i="10" s="1"/>
  <c r="AC30" i="10"/>
  <c r="AB30" i="10"/>
  <c r="AA30" i="10"/>
  <c r="Y30" i="10"/>
  <c r="AL30" i="10" s="1"/>
  <c r="AS30" i="10" s="1"/>
  <c r="X30" i="10"/>
  <c r="W30" i="10"/>
  <c r="V30" i="10"/>
  <c r="T30" i="10"/>
  <c r="AK30" i="10" s="1"/>
  <c r="AR30" i="10" s="1"/>
  <c r="O30" i="10"/>
  <c r="N30" i="10"/>
  <c r="M30" i="10"/>
  <c r="K30" i="10"/>
  <c r="AI30" i="10" s="1"/>
  <c r="J30" i="10"/>
  <c r="I30" i="10"/>
  <c r="H30" i="10"/>
  <c r="G30" i="10"/>
  <c r="F30" i="10"/>
  <c r="C30" i="10"/>
  <c r="AH29" i="10"/>
  <c r="AK29" i="10"/>
  <c r="AR29" i="10" s="1"/>
  <c r="AI29" i="10"/>
  <c r="AP29" i="10" s="1"/>
  <c r="AH28" i="10"/>
  <c r="AC28" i="10"/>
  <c r="AB28" i="10"/>
  <c r="AA28" i="10"/>
  <c r="X28" i="10"/>
  <c r="W28" i="10"/>
  <c r="V28" i="10"/>
  <c r="T28" i="10"/>
  <c r="AK28" i="10" s="1"/>
  <c r="AR28" i="10" s="1"/>
  <c r="P28" i="10"/>
  <c r="AJ28" i="10" s="1"/>
  <c r="AQ28" i="10" s="1"/>
  <c r="O28" i="10"/>
  <c r="N28" i="10"/>
  <c r="M28" i="10"/>
  <c r="K28" i="10"/>
  <c r="AI28" i="10" s="1"/>
  <c r="J28" i="10"/>
  <c r="I28" i="10"/>
  <c r="H28" i="10"/>
  <c r="G28" i="10"/>
  <c r="F28" i="10"/>
  <c r="C28" i="10"/>
  <c r="AH27" i="10"/>
  <c r="AK27" i="10"/>
  <c r="Y25" i="10"/>
  <c r="P25" i="10"/>
  <c r="K25" i="10"/>
  <c r="C25" i="10"/>
  <c r="Y24" i="10"/>
  <c r="P24" i="10"/>
  <c r="K24" i="10"/>
  <c r="P23" i="10"/>
  <c r="C23" i="10"/>
  <c r="Y22" i="10"/>
  <c r="P22" i="10"/>
  <c r="Y21" i="10"/>
  <c r="K21" i="10"/>
  <c r="Y20" i="10"/>
  <c r="P20" i="10"/>
  <c r="AC15" i="10"/>
  <c r="AB15" i="10"/>
  <c r="AA15" i="10"/>
  <c r="X15" i="10"/>
  <c r="W15" i="10"/>
  <c r="V15" i="10"/>
  <c r="O15" i="10"/>
  <c r="N15" i="10"/>
  <c r="M15" i="10"/>
  <c r="J15" i="10"/>
  <c r="I15" i="10"/>
  <c r="H15" i="10"/>
  <c r="G15" i="10"/>
  <c r="F15" i="10"/>
  <c r="AC10" i="10"/>
  <c r="AB10" i="10"/>
  <c r="X10" i="10"/>
  <c r="W10" i="10"/>
  <c r="V10" i="10"/>
  <c r="O10" i="10"/>
  <c r="N10" i="10"/>
  <c r="M10" i="10"/>
  <c r="J10" i="10"/>
  <c r="I10" i="10"/>
  <c r="H10" i="10"/>
  <c r="G10" i="10"/>
  <c r="F10" i="10"/>
  <c r="AA10" i="10"/>
  <c r="P8" i="10"/>
  <c r="K8" i="10"/>
  <c r="V4" i="10"/>
  <c r="AD3" i="10"/>
  <c r="AA3" i="10"/>
  <c r="AD110" i="9"/>
  <c r="Y110" i="9"/>
  <c r="AD108" i="9"/>
  <c r="AC108" i="9" s="1"/>
  <c r="Y108" i="9"/>
  <c r="W108" i="9" s="1"/>
  <c r="X108" i="9"/>
  <c r="Y107" i="9"/>
  <c r="P107" i="9"/>
  <c r="O107" i="9" s="1"/>
  <c r="AF106" i="9"/>
  <c r="D106" i="9"/>
  <c r="AF105" i="9"/>
  <c r="D105" i="9"/>
  <c r="H103" i="9"/>
  <c r="AF98" i="9"/>
  <c r="D98" i="9"/>
  <c r="AF97" i="9"/>
  <c r="AD92" i="9"/>
  <c r="Y92" i="9"/>
  <c r="D92" i="9" s="1"/>
  <c r="AD90" i="9"/>
  <c r="Y90" i="9"/>
  <c r="P90" i="9"/>
  <c r="K90" i="9"/>
  <c r="AD89" i="9"/>
  <c r="Y89" i="9"/>
  <c r="P89" i="9"/>
  <c r="K89" i="9"/>
  <c r="AD88" i="9"/>
  <c r="Y88" i="9"/>
  <c r="P88" i="9"/>
  <c r="K88" i="9"/>
  <c r="AD87" i="9"/>
  <c r="Y87" i="9"/>
  <c r="P87" i="9"/>
  <c r="K87" i="9"/>
  <c r="D87" i="9" s="1"/>
  <c r="AD86" i="9"/>
  <c r="Y86" i="9"/>
  <c r="P86" i="9"/>
  <c r="K86" i="9"/>
  <c r="AD85" i="9"/>
  <c r="Y85" i="9"/>
  <c r="P85" i="9"/>
  <c r="K85" i="9"/>
  <c r="AD84" i="9"/>
  <c r="Y84" i="9"/>
  <c r="P84" i="9"/>
  <c r="K84" i="9"/>
  <c r="Y83" i="9"/>
  <c r="P83" i="9"/>
  <c r="K83" i="9"/>
  <c r="D83" i="9" s="1"/>
  <c r="AD82" i="9"/>
  <c r="AD102" i="9" s="1"/>
  <c r="Y82" i="9"/>
  <c r="P82" i="9"/>
  <c r="AD81" i="9"/>
  <c r="Y81" i="9"/>
  <c r="P81" i="9"/>
  <c r="K81" i="9"/>
  <c r="K77" i="9"/>
  <c r="Y76" i="9"/>
  <c r="P76" i="9"/>
  <c r="K76" i="9"/>
  <c r="Y75" i="9"/>
  <c r="P75" i="9"/>
  <c r="K75" i="9"/>
  <c r="AD70" i="9"/>
  <c r="Y70" i="9"/>
  <c r="P70" i="9"/>
  <c r="K70" i="9"/>
  <c r="AD69" i="9"/>
  <c r="Y69" i="9"/>
  <c r="Y99" i="9" s="1"/>
  <c r="P69" i="9"/>
  <c r="P99" i="9" s="1"/>
  <c r="K69" i="9"/>
  <c r="K99" i="9" s="1"/>
  <c r="H99" i="9" s="1"/>
  <c r="AD68" i="9"/>
  <c r="Y68" i="9"/>
  <c r="Y27" i="9" s="1"/>
  <c r="P68" i="9"/>
  <c r="P27" i="9" s="1"/>
  <c r="AJ27" i="9" s="1"/>
  <c r="K68" i="9"/>
  <c r="K27" i="9" s="1"/>
  <c r="AD67" i="9"/>
  <c r="Y67" i="9"/>
  <c r="P67" i="9"/>
  <c r="P101" i="9" s="1"/>
  <c r="Y66" i="9"/>
  <c r="P66" i="9"/>
  <c r="K66" i="9"/>
  <c r="K107" i="9"/>
  <c r="AD64" i="9"/>
  <c r="D64" i="9" s="1"/>
  <c r="AD63" i="9"/>
  <c r="AD100" i="9" s="1"/>
  <c r="AC100" i="9" s="1"/>
  <c r="Y63" i="9"/>
  <c r="P63" i="9"/>
  <c r="P100" i="9" s="1"/>
  <c r="K63" i="9"/>
  <c r="AD62" i="9"/>
  <c r="Y62" i="9"/>
  <c r="P62" i="9"/>
  <c r="K62" i="9"/>
  <c r="AD61" i="9"/>
  <c r="Y61" i="9"/>
  <c r="P61" i="9"/>
  <c r="K61" i="9"/>
  <c r="AD60" i="9"/>
  <c r="Y60" i="9"/>
  <c r="P60" i="9"/>
  <c r="K60" i="9"/>
  <c r="AD59" i="9"/>
  <c r="Y59" i="9"/>
  <c r="P59" i="9"/>
  <c r="K59" i="9"/>
  <c r="AD58" i="9"/>
  <c r="Y58" i="9"/>
  <c r="P58" i="9"/>
  <c r="K58" i="9"/>
  <c r="AD57" i="9"/>
  <c r="Y57" i="9"/>
  <c r="P57" i="9"/>
  <c r="K57" i="9"/>
  <c r="AD56" i="9"/>
  <c r="Y56" i="9"/>
  <c r="P56" i="9"/>
  <c r="K56" i="9"/>
  <c r="AD55" i="9"/>
  <c r="Y55" i="9"/>
  <c r="P55" i="9"/>
  <c r="P38" i="9" s="1"/>
  <c r="AJ38" i="9" s="1"/>
  <c r="AQ38" i="9" s="1"/>
  <c r="BD38" i="9" s="1"/>
  <c r="K55" i="9"/>
  <c r="K108" i="9"/>
  <c r="AD53" i="9"/>
  <c r="Y53" i="9"/>
  <c r="P53" i="9"/>
  <c r="Y52" i="9"/>
  <c r="P52" i="9"/>
  <c r="K52" i="9"/>
  <c r="Y51" i="9"/>
  <c r="P51" i="9"/>
  <c r="K51" i="9"/>
  <c r="P50" i="9"/>
  <c r="P110" i="9" s="1"/>
  <c r="K50" i="9"/>
  <c r="K110" i="9" s="1"/>
  <c r="K49" i="9"/>
  <c r="D49" i="9" s="1"/>
  <c r="Y48" i="9"/>
  <c r="Y35" i="9" s="1"/>
  <c r="AL35" i="9" s="1"/>
  <c r="AS35" i="9" s="1"/>
  <c r="CD35" i="9" s="1"/>
  <c r="P48" i="9"/>
  <c r="K48" i="9"/>
  <c r="AD47" i="9"/>
  <c r="Y47" i="9"/>
  <c r="Y33" i="9" s="1"/>
  <c r="AL33" i="9" s="1"/>
  <c r="AS33" i="9" s="1"/>
  <c r="P47" i="9"/>
  <c r="K47" i="9"/>
  <c r="K33" i="9" s="1"/>
  <c r="AI33" i="9" s="1"/>
  <c r="AD46" i="9"/>
  <c r="Y46" i="9"/>
  <c r="P46" i="9"/>
  <c r="K46" i="9"/>
  <c r="AD45" i="9"/>
  <c r="Y45" i="9"/>
  <c r="P45" i="9"/>
  <c r="K45" i="9"/>
  <c r="AM39" i="9"/>
  <c r="AT39" i="9" s="1"/>
  <c r="AH39" i="9"/>
  <c r="AL39" i="9"/>
  <c r="AS39" i="9" s="1"/>
  <c r="BR39" i="9" s="1"/>
  <c r="AK39" i="9"/>
  <c r="AR39" i="9" s="1"/>
  <c r="AJ39" i="9"/>
  <c r="AQ39" i="9" s="1"/>
  <c r="AH38" i="9"/>
  <c r="AC38" i="9"/>
  <c r="AB38" i="9"/>
  <c r="AA38" i="9"/>
  <c r="X38" i="9"/>
  <c r="W38" i="9"/>
  <c r="V38" i="9"/>
  <c r="T38" i="9"/>
  <c r="AK38" i="9" s="1"/>
  <c r="AR38" i="9" s="1"/>
  <c r="O38" i="9"/>
  <c r="N38" i="9"/>
  <c r="M38" i="9"/>
  <c r="J38" i="9"/>
  <c r="I38" i="9"/>
  <c r="H38" i="9"/>
  <c r="G38" i="9"/>
  <c r="F38" i="9"/>
  <c r="C38" i="9"/>
  <c r="AH37" i="9"/>
  <c r="AC37" i="9"/>
  <c r="AB37" i="9"/>
  <c r="AA37" i="9"/>
  <c r="X37" i="9"/>
  <c r="W37" i="9"/>
  <c r="V37" i="9"/>
  <c r="T37" i="9"/>
  <c r="AK37" i="9" s="1"/>
  <c r="AR37" i="9" s="1"/>
  <c r="BE37" i="9" s="1"/>
  <c r="O37" i="9"/>
  <c r="N37" i="9"/>
  <c r="M37" i="9"/>
  <c r="J37" i="9"/>
  <c r="I37" i="9"/>
  <c r="H37" i="9"/>
  <c r="G37" i="9"/>
  <c r="F37" i="9"/>
  <c r="C37" i="9"/>
  <c r="AH36" i="9"/>
  <c r="AK36" i="9"/>
  <c r="AR36" i="9" s="1"/>
  <c r="BQ36" i="9" s="1"/>
  <c r="C25" i="9"/>
  <c r="AH35" i="9"/>
  <c r="AC35" i="9"/>
  <c r="AB35" i="9"/>
  <c r="AA35" i="9"/>
  <c r="X35" i="9"/>
  <c r="W35" i="9"/>
  <c r="V35" i="9"/>
  <c r="O35" i="9"/>
  <c r="N35" i="9"/>
  <c r="M35" i="9"/>
  <c r="J35" i="9"/>
  <c r="I35" i="9"/>
  <c r="H35" i="9"/>
  <c r="G35" i="9"/>
  <c r="F35" i="9"/>
  <c r="C35" i="9"/>
  <c r="C24" i="9" s="1"/>
  <c r="AH34" i="9"/>
  <c r="AD34" i="9"/>
  <c r="AM34" i="9" s="1"/>
  <c r="AT34" i="9" s="1"/>
  <c r="AC34" i="9"/>
  <c r="AB34" i="9"/>
  <c r="AA34" i="9"/>
  <c r="Y34" i="9"/>
  <c r="AL34" i="9" s="1"/>
  <c r="AS34" i="9" s="1"/>
  <c r="X34" i="9"/>
  <c r="W34" i="9"/>
  <c r="V34" i="9"/>
  <c r="T34" i="9"/>
  <c r="AK34" i="9" s="1"/>
  <c r="AR34" i="9" s="1"/>
  <c r="P34" i="9"/>
  <c r="AJ34" i="9" s="1"/>
  <c r="AQ34" i="9" s="1"/>
  <c r="BP34" i="9" s="1"/>
  <c r="O34" i="9"/>
  <c r="N34" i="9"/>
  <c r="M34" i="9"/>
  <c r="K34" i="9"/>
  <c r="AI34" i="9" s="1"/>
  <c r="J34" i="9"/>
  <c r="I34" i="9"/>
  <c r="H34" i="9"/>
  <c r="G34" i="9"/>
  <c r="F34" i="9"/>
  <c r="C34" i="9"/>
  <c r="AH33" i="9"/>
  <c r="AC33" i="9"/>
  <c r="AB33" i="9"/>
  <c r="AA33" i="9"/>
  <c r="X33" i="9"/>
  <c r="W33" i="9"/>
  <c r="V33" i="9"/>
  <c r="T33" i="9"/>
  <c r="AK33" i="9" s="1"/>
  <c r="AR33" i="9" s="1"/>
  <c r="BQ33" i="9" s="1"/>
  <c r="O33" i="9"/>
  <c r="N33" i="9"/>
  <c r="M33" i="9"/>
  <c r="J33" i="9"/>
  <c r="I33" i="9"/>
  <c r="H33" i="9"/>
  <c r="G33" i="9"/>
  <c r="F33" i="9"/>
  <c r="C33" i="9"/>
  <c r="C21" i="9" s="1"/>
  <c r="AH32" i="9"/>
  <c r="AC32" i="9"/>
  <c r="AB32" i="9"/>
  <c r="AA32" i="9"/>
  <c r="X32" i="9"/>
  <c r="W32" i="9"/>
  <c r="V32" i="9"/>
  <c r="T32" i="9"/>
  <c r="AK32" i="9" s="1"/>
  <c r="AR32" i="9" s="1"/>
  <c r="O32" i="9"/>
  <c r="N32" i="9"/>
  <c r="M32" i="9"/>
  <c r="J32" i="9"/>
  <c r="I32" i="9"/>
  <c r="H32" i="9"/>
  <c r="G32" i="9"/>
  <c r="F32" i="9"/>
  <c r="AH31" i="9"/>
  <c r="AD31" i="9"/>
  <c r="AM31" i="9" s="1"/>
  <c r="AT31" i="9" s="1"/>
  <c r="BS31" i="9" s="1"/>
  <c r="AC31" i="9"/>
  <c r="AB31" i="9"/>
  <c r="AA31" i="9"/>
  <c r="Y31" i="9"/>
  <c r="AL31" i="9" s="1"/>
  <c r="AS31" i="9" s="1"/>
  <c r="X31" i="9"/>
  <c r="W31" i="9"/>
  <c r="V31" i="9"/>
  <c r="T31" i="9"/>
  <c r="AK31" i="9" s="1"/>
  <c r="AR31" i="9" s="1"/>
  <c r="P31" i="9"/>
  <c r="AJ31" i="9" s="1"/>
  <c r="AQ31" i="9" s="1"/>
  <c r="O31" i="9"/>
  <c r="N31" i="9"/>
  <c r="M31" i="9"/>
  <c r="J31" i="9"/>
  <c r="I31" i="9"/>
  <c r="H31" i="9"/>
  <c r="G31" i="9"/>
  <c r="F31" i="9"/>
  <c r="C31" i="9"/>
  <c r="AH30" i="9"/>
  <c r="AD30" i="9"/>
  <c r="AM30" i="9" s="1"/>
  <c r="AT30" i="9" s="1"/>
  <c r="AC30" i="9"/>
  <c r="AB30" i="9"/>
  <c r="AA30" i="9"/>
  <c r="Y30" i="9"/>
  <c r="AL30" i="9" s="1"/>
  <c r="AS30" i="9" s="1"/>
  <c r="X30" i="9"/>
  <c r="W30" i="9"/>
  <c r="V30" i="9"/>
  <c r="T30" i="9"/>
  <c r="AK30" i="9" s="1"/>
  <c r="AR30" i="9" s="1"/>
  <c r="BE30" i="9" s="1"/>
  <c r="P30" i="9"/>
  <c r="AJ30" i="9" s="1"/>
  <c r="AQ30" i="9" s="1"/>
  <c r="O30" i="9"/>
  <c r="N30" i="9"/>
  <c r="M30" i="9"/>
  <c r="K30" i="9"/>
  <c r="AI30" i="9" s="1"/>
  <c r="J30" i="9"/>
  <c r="I30" i="9"/>
  <c r="H30" i="9"/>
  <c r="G30" i="9"/>
  <c r="F30" i="9"/>
  <c r="C30" i="9"/>
  <c r="AH29" i="9"/>
  <c r="AK29" i="9"/>
  <c r="AR29" i="9" s="1"/>
  <c r="AI29" i="9"/>
  <c r="AP29" i="9" s="1"/>
  <c r="AH28" i="9"/>
  <c r="AC28" i="9"/>
  <c r="AB28" i="9"/>
  <c r="AA28" i="9"/>
  <c r="X28" i="9"/>
  <c r="W28" i="9"/>
  <c r="V28" i="9"/>
  <c r="T28" i="9"/>
  <c r="AK28" i="9" s="1"/>
  <c r="AR28" i="9" s="1"/>
  <c r="O28" i="9"/>
  <c r="N28" i="9"/>
  <c r="M28" i="9"/>
  <c r="J28" i="9"/>
  <c r="I28" i="9"/>
  <c r="H28" i="9"/>
  <c r="G28" i="9"/>
  <c r="F28" i="9"/>
  <c r="C28" i="9"/>
  <c r="AH27" i="9"/>
  <c r="AL27" i="9"/>
  <c r="AK27" i="9"/>
  <c r="AI27" i="9"/>
  <c r="Y25" i="9"/>
  <c r="P25" i="9"/>
  <c r="K25" i="9"/>
  <c r="Y24" i="9"/>
  <c r="P24" i="9"/>
  <c r="K24" i="9"/>
  <c r="P23" i="9"/>
  <c r="Y22" i="9"/>
  <c r="P22" i="9"/>
  <c r="Y21" i="9"/>
  <c r="K21" i="9"/>
  <c r="Y20" i="9"/>
  <c r="P20" i="9"/>
  <c r="AC15" i="9"/>
  <c r="AB15" i="9"/>
  <c r="AA15" i="9"/>
  <c r="X15" i="9"/>
  <c r="W15" i="9"/>
  <c r="V15" i="9"/>
  <c r="O15" i="9"/>
  <c r="N15" i="9"/>
  <c r="M15" i="9"/>
  <c r="J15" i="9"/>
  <c r="I15" i="9"/>
  <c r="H15" i="9"/>
  <c r="G15" i="9"/>
  <c r="F15" i="9"/>
  <c r="AC10" i="9"/>
  <c r="AC17" i="9" s="1"/>
  <c r="AB10" i="9"/>
  <c r="X10" i="9"/>
  <c r="W10" i="9"/>
  <c r="V10" i="9"/>
  <c r="O10" i="9"/>
  <c r="N10" i="9"/>
  <c r="M10" i="9"/>
  <c r="J10" i="9"/>
  <c r="I10" i="9"/>
  <c r="H10" i="9"/>
  <c r="G10" i="9"/>
  <c r="F10" i="9"/>
  <c r="AA10" i="9"/>
  <c r="Y8" i="9"/>
  <c r="P8" i="9"/>
  <c r="K8" i="9"/>
  <c r="V4" i="9"/>
  <c r="AD3" i="9"/>
  <c r="AA3" i="9"/>
  <c r="AD110" i="8"/>
  <c r="Y110" i="8"/>
  <c r="AD108" i="8"/>
  <c r="AC108" i="8" s="1"/>
  <c r="Y108" i="8"/>
  <c r="X108" i="8" s="1"/>
  <c r="W108" i="8"/>
  <c r="Y107" i="8"/>
  <c r="P107" i="8"/>
  <c r="O107" i="8" s="1"/>
  <c r="AF106" i="8"/>
  <c r="D106" i="8"/>
  <c r="AF105" i="8"/>
  <c r="D105" i="8"/>
  <c r="AF98" i="8"/>
  <c r="D98" i="8"/>
  <c r="AF97" i="8"/>
  <c r="AD92" i="8"/>
  <c r="Y92" i="8"/>
  <c r="AD90" i="8"/>
  <c r="Y90" i="8"/>
  <c r="P90" i="8"/>
  <c r="K90" i="8"/>
  <c r="AD89" i="8"/>
  <c r="AD38" i="8" s="1"/>
  <c r="AM38" i="8" s="1"/>
  <c r="AT38" i="8" s="1"/>
  <c r="Y89" i="8"/>
  <c r="P89" i="8"/>
  <c r="K89" i="8"/>
  <c r="AD88" i="8"/>
  <c r="Y88" i="8"/>
  <c r="P88" i="8"/>
  <c r="K88" i="8"/>
  <c r="AD87" i="8"/>
  <c r="Y87" i="8"/>
  <c r="P87" i="8"/>
  <c r="K87" i="8"/>
  <c r="AD86" i="8"/>
  <c r="Y86" i="8"/>
  <c r="P86" i="8"/>
  <c r="K86" i="8"/>
  <c r="AD85" i="8"/>
  <c r="Y85" i="8"/>
  <c r="P85" i="8"/>
  <c r="K85" i="8"/>
  <c r="AD84" i="8"/>
  <c r="Y84" i="8"/>
  <c r="P84" i="8"/>
  <c r="K84" i="8"/>
  <c r="Y83" i="8"/>
  <c r="P83" i="8"/>
  <c r="K83" i="8"/>
  <c r="AD82" i="8"/>
  <c r="Y82" i="8"/>
  <c r="Y102" i="8" s="1"/>
  <c r="P82" i="8"/>
  <c r="AD81" i="8"/>
  <c r="Y81" i="8"/>
  <c r="P81" i="8"/>
  <c r="K81" i="8"/>
  <c r="K77" i="8"/>
  <c r="Y76" i="8"/>
  <c r="P76" i="8"/>
  <c r="K76" i="8"/>
  <c r="Y75" i="8"/>
  <c r="P75" i="8"/>
  <c r="D75" i="8" s="1"/>
  <c r="K75" i="8"/>
  <c r="P96" i="8"/>
  <c r="AD72" i="8"/>
  <c r="AD70" i="8"/>
  <c r="Y70" i="8"/>
  <c r="AD69" i="8"/>
  <c r="AD99" i="8" s="1"/>
  <c r="AC99" i="8" s="1"/>
  <c r="Y69" i="8"/>
  <c r="Y99" i="8" s="1"/>
  <c r="P69" i="8"/>
  <c r="P99" i="8" s="1"/>
  <c r="K69" i="8"/>
  <c r="AD68" i="8"/>
  <c r="Y68" i="8"/>
  <c r="P68" i="8"/>
  <c r="P27" i="8" s="1"/>
  <c r="AJ27" i="8" s="1"/>
  <c r="K68" i="8"/>
  <c r="AD67" i="8"/>
  <c r="Y67" i="8"/>
  <c r="P67" i="8"/>
  <c r="P32" i="8" s="1"/>
  <c r="AJ32" i="8" s="1"/>
  <c r="AQ32" i="8" s="1"/>
  <c r="K67" i="8"/>
  <c r="AF66" i="8"/>
  <c r="Y66" i="8"/>
  <c r="P66" i="8"/>
  <c r="K66" i="8"/>
  <c r="AD107" i="8"/>
  <c r="AC107" i="8" s="1"/>
  <c r="K107" i="8"/>
  <c r="K64" i="8"/>
  <c r="D64" i="8" s="1"/>
  <c r="AD63" i="8"/>
  <c r="AD100" i="8" s="1"/>
  <c r="AC100" i="8" s="1"/>
  <c r="Y63" i="8"/>
  <c r="Y100" i="8" s="1"/>
  <c r="P63" i="8"/>
  <c r="K63" i="8"/>
  <c r="K100" i="8" s="1"/>
  <c r="AD62" i="8"/>
  <c r="Y62" i="8"/>
  <c r="P62" i="8"/>
  <c r="K62" i="8"/>
  <c r="AD61" i="8"/>
  <c r="Y61" i="8"/>
  <c r="P61" i="8"/>
  <c r="K61" i="8"/>
  <c r="AD60" i="8"/>
  <c r="Y60" i="8"/>
  <c r="P60" i="8"/>
  <c r="K60" i="8"/>
  <c r="AD59" i="8"/>
  <c r="Y59" i="8"/>
  <c r="P59" i="8"/>
  <c r="K59" i="8"/>
  <c r="AD58" i="8"/>
  <c r="Y58" i="8"/>
  <c r="P58" i="8"/>
  <c r="K58" i="8"/>
  <c r="D58" i="8" s="1"/>
  <c r="AD57" i="8"/>
  <c r="Y57" i="8"/>
  <c r="P57" i="8"/>
  <c r="K57" i="8"/>
  <c r="AD56" i="8"/>
  <c r="Y56" i="8"/>
  <c r="P56" i="8"/>
  <c r="K56" i="8"/>
  <c r="AD55" i="8"/>
  <c r="Y55" i="8"/>
  <c r="Y38" i="8" s="1"/>
  <c r="AL38" i="8" s="1"/>
  <c r="AS38" i="8" s="1"/>
  <c r="P55" i="8"/>
  <c r="K55" i="8"/>
  <c r="D54" i="8"/>
  <c r="D30" i="8" s="1"/>
  <c r="K108" i="8"/>
  <c r="AD53" i="8"/>
  <c r="Y52" i="8"/>
  <c r="P52" i="8"/>
  <c r="K52" i="8"/>
  <c r="Y51" i="8"/>
  <c r="P51" i="8"/>
  <c r="K51" i="8"/>
  <c r="P50" i="8"/>
  <c r="P110" i="8" s="1"/>
  <c r="K50" i="8"/>
  <c r="K110" i="8" s="1"/>
  <c r="K49" i="8"/>
  <c r="Y48" i="8"/>
  <c r="P48" i="8"/>
  <c r="K48" i="8"/>
  <c r="AD47" i="8"/>
  <c r="Y47" i="8"/>
  <c r="P47" i="8"/>
  <c r="K47" i="8"/>
  <c r="AD46" i="8"/>
  <c r="AD32" i="8" s="1"/>
  <c r="AM32" i="8" s="1"/>
  <c r="AT32" i="8" s="1"/>
  <c r="Y46" i="8"/>
  <c r="P46" i="8"/>
  <c r="K46" i="8"/>
  <c r="AD45" i="8"/>
  <c r="Y45" i="8"/>
  <c r="P45" i="8"/>
  <c r="K45" i="8"/>
  <c r="D45" i="8"/>
  <c r="AM39" i="8"/>
  <c r="AT39" i="8" s="1"/>
  <c r="AH39" i="8"/>
  <c r="AL39" i="8"/>
  <c r="AS39" i="8" s="1"/>
  <c r="AK39" i="8"/>
  <c r="AR39" i="8" s="1"/>
  <c r="AJ39" i="8"/>
  <c r="AQ39" i="8" s="1"/>
  <c r="AH38" i="8"/>
  <c r="AC38" i="8"/>
  <c r="AB38" i="8"/>
  <c r="AA38" i="8"/>
  <c r="X38" i="8"/>
  <c r="W38" i="8"/>
  <c r="V38" i="8"/>
  <c r="T38" i="8"/>
  <c r="AK38" i="8" s="1"/>
  <c r="AR38" i="8" s="1"/>
  <c r="O38" i="8"/>
  <c r="N38" i="8"/>
  <c r="M38" i="8"/>
  <c r="J38" i="8"/>
  <c r="I38" i="8"/>
  <c r="H38" i="8"/>
  <c r="G38" i="8"/>
  <c r="F38" i="8"/>
  <c r="C38" i="8"/>
  <c r="AH37" i="8"/>
  <c r="AD37" i="8"/>
  <c r="AM37" i="8" s="1"/>
  <c r="AT37" i="8" s="1"/>
  <c r="AC37" i="8"/>
  <c r="AB37" i="8"/>
  <c r="AA37" i="8"/>
  <c r="X37" i="8"/>
  <c r="W37" i="8"/>
  <c r="V37" i="8"/>
  <c r="T37" i="8"/>
  <c r="AK37" i="8" s="1"/>
  <c r="AR37" i="8" s="1"/>
  <c r="P37" i="8"/>
  <c r="AJ37" i="8" s="1"/>
  <c r="AQ37" i="8" s="1"/>
  <c r="O37" i="8"/>
  <c r="N37" i="8"/>
  <c r="M37" i="8"/>
  <c r="J37" i="8"/>
  <c r="I37" i="8"/>
  <c r="H37" i="8"/>
  <c r="G37" i="8"/>
  <c r="F37" i="8"/>
  <c r="C37" i="8"/>
  <c r="AH36" i="8"/>
  <c r="AH35" i="8"/>
  <c r="AC35" i="8"/>
  <c r="AB35" i="8"/>
  <c r="AA35" i="8"/>
  <c r="Y35" i="8"/>
  <c r="AL35" i="8" s="1"/>
  <c r="AS35" i="8" s="1"/>
  <c r="X35" i="8"/>
  <c r="W35" i="8"/>
  <c r="V35" i="8"/>
  <c r="O35" i="8"/>
  <c r="N35" i="8"/>
  <c r="M35" i="8"/>
  <c r="J35" i="8"/>
  <c r="I35" i="8"/>
  <c r="H35" i="8"/>
  <c r="G35" i="8"/>
  <c r="F35" i="8"/>
  <c r="C35" i="8"/>
  <c r="C24" i="8" s="1"/>
  <c r="AH34" i="8"/>
  <c r="AD34" i="8"/>
  <c r="AM34" i="8" s="1"/>
  <c r="AT34" i="8" s="1"/>
  <c r="AC34" i="8"/>
  <c r="AB34" i="8"/>
  <c r="AA34" i="8"/>
  <c r="Y34" i="8"/>
  <c r="AL34" i="8" s="1"/>
  <c r="AS34" i="8" s="1"/>
  <c r="X34" i="8"/>
  <c r="W34" i="8"/>
  <c r="V34" i="8"/>
  <c r="T34" i="8"/>
  <c r="AK34" i="8" s="1"/>
  <c r="AR34" i="8" s="1"/>
  <c r="P34" i="8"/>
  <c r="AJ34" i="8" s="1"/>
  <c r="AQ34" i="8" s="1"/>
  <c r="O34" i="8"/>
  <c r="N34" i="8"/>
  <c r="M34" i="8"/>
  <c r="K34" i="8"/>
  <c r="AI34" i="8" s="1"/>
  <c r="J34" i="8"/>
  <c r="I34" i="8"/>
  <c r="H34" i="8"/>
  <c r="G34" i="8"/>
  <c r="F34" i="8"/>
  <c r="C34" i="8"/>
  <c r="AH33" i="8"/>
  <c r="AC33" i="8"/>
  <c r="AB33" i="8"/>
  <c r="AA33" i="8"/>
  <c r="X33" i="8"/>
  <c r="W33" i="8"/>
  <c r="V33" i="8"/>
  <c r="T33" i="8"/>
  <c r="AK33" i="8" s="1"/>
  <c r="AR33" i="8" s="1"/>
  <c r="O33" i="8"/>
  <c r="N33" i="8"/>
  <c r="M33" i="8"/>
  <c r="K33" i="8"/>
  <c r="AI33" i="8" s="1"/>
  <c r="J33" i="8"/>
  <c r="I33" i="8"/>
  <c r="H33" i="8"/>
  <c r="G33" i="8"/>
  <c r="F33" i="8"/>
  <c r="C33" i="8"/>
  <c r="C21" i="8" s="1"/>
  <c r="AL32" i="8"/>
  <c r="AS32" i="8" s="1"/>
  <c r="AH32" i="8"/>
  <c r="AC32" i="8"/>
  <c r="AB32" i="8"/>
  <c r="AA32" i="8"/>
  <c r="Y32" i="8"/>
  <c r="X32" i="8"/>
  <c r="W32" i="8"/>
  <c r="V32" i="8"/>
  <c r="T32" i="8"/>
  <c r="AK32" i="8" s="1"/>
  <c r="AR32" i="8" s="1"/>
  <c r="O32" i="8"/>
  <c r="N32" i="8"/>
  <c r="M32" i="8"/>
  <c r="J32" i="8"/>
  <c r="I32" i="8"/>
  <c r="H32" i="8"/>
  <c r="G32" i="8"/>
  <c r="F32" i="8"/>
  <c r="C32" i="8"/>
  <c r="AH31" i="8"/>
  <c r="AD31" i="8"/>
  <c r="AM31" i="8" s="1"/>
  <c r="AT31" i="8" s="1"/>
  <c r="AC31" i="8"/>
  <c r="AB31" i="8"/>
  <c r="AA31" i="8"/>
  <c r="Y31" i="8"/>
  <c r="AL31" i="8" s="1"/>
  <c r="AS31" i="8" s="1"/>
  <c r="X31" i="8"/>
  <c r="W31" i="8"/>
  <c r="V31" i="8"/>
  <c r="T31" i="8"/>
  <c r="AK31" i="8" s="1"/>
  <c r="AR31" i="8" s="1"/>
  <c r="P31" i="8"/>
  <c r="AJ31" i="8" s="1"/>
  <c r="AQ31" i="8" s="1"/>
  <c r="O31" i="8"/>
  <c r="N31" i="8"/>
  <c r="M31" i="8"/>
  <c r="K31" i="8"/>
  <c r="AI31" i="8" s="1"/>
  <c r="J31" i="8"/>
  <c r="I31" i="8"/>
  <c r="H31" i="8"/>
  <c r="G31" i="8"/>
  <c r="F31" i="8"/>
  <c r="C31" i="8"/>
  <c r="AH30" i="8"/>
  <c r="AD30" i="8"/>
  <c r="AM30" i="8" s="1"/>
  <c r="AT30" i="8" s="1"/>
  <c r="AC30" i="8"/>
  <c r="AB30" i="8"/>
  <c r="AA30" i="8"/>
  <c r="Y30" i="8"/>
  <c r="AL30" i="8" s="1"/>
  <c r="AS30" i="8" s="1"/>
  <c r="X30" i="8"/>
  <c r="W30" i="8"/>
  <c r="V30" i="8"/>
  <c r="T30" i="8"/>
  <c r="AK30" i="8" s="1"/>
  <c r="AR30" i="8" s="1"/>
  <c r="P30" i="8"/>
  <c r="AJ30" i="8" s="1"/>
  <c r="AQ30" i="8" s="1"/>
  <c r="O30" i="8"/>
  <c r="N30" i="8"/>
  <c r="M30" i="8"/>
  <c r="K30" i="8"/>
  <c r="AI30" i="8" s="1"/>
  <c r="J30" i="8"/>
  <c r="I30" i="8"/>
  <c r="H30" i="8"/>
  <c r="G30" i="8"/>
  <c r="F30" i="8"/>
  <c r="C30" i="8"/>
  <c r="AH29" i="8"/>
  <c r="AK29" i="8"/>
  <c r="AR29" i="8" s="1"/>
  <c r="AJ29" i="8"/>
  <c r="AQ29" i="8" s="1"/>
  <c r="AI29" i="8"/>
  <c r="AH28" i="8"/>
  <c r="AC28" i="8"/>
  <c r="AB28" i="8"/>
  <c r="AA28" i="8"/>
  <c r="Y28" i="8"/>
  <c r="AL28" i="8" s="1"/>
  <c r="AS28" i="8" s="1"/>
  <c r="X28" i="8"/>
  <c r="W28" i="8"/>
  <c r="V28" i="8"/>
  <c r="T28" i="8"/>
  <c r="AK28" i="8" s="1"/>
  <c r="AR28" i="8" s="1"/>
  <c r="O28" i="8"/>
  <c r="N28" i="8"/>
  <c r="M28" i="8"/>
  <c r="J28" i="8"/>
  <c r="I28" i="8"/>
  <c r="H28" i="8"/>
  <c r="G28" i="8"/>
  <c r="F28" i="8"/>
  <c r="C28" i="8"/>
  <c r="AH27" i="8"/>
  <c r="AK27" i="8"/>
  <c r="Y25" i="8"/>
  <c r="P25" i="8"/>
  <c r="K25" i="8"/>
  <c r="C25" i="8"/>
  <c r="Y24" i="8"/>
  <c r="P24" i="8"/>
  <c r="K24" i="8"/>
  <c r="P23" i="8"/>
  <c r="Y22" i="8"/>
  <c r="P22" i="8"/>
  <c r="C22" i="8"/>
  <c r="Y21" i="8"/>
  <c r="K21" i="8"/>
  <c r="Y20" i="8"/>
  <c r="P20" i="8"/>
  <c r="AC15" i="8"/>
  <c r="AB15" i="8"/>
  <c r="AA15" i="8"/>
  <c r="X15" i="8"/>
  <c r="W15" i="8"/>
  <c r="V15" i="8"/>
  <c r="R15" i="8"/>
  <c r="O15" i="8"/>
  <c r="N15" i="8"/>
  <c r="M15" i="8"/>
  <c r="J15" i="8"/>
  <c r="I15" i="8"/>
  <c r="H15" i="8"/>
  <c r="G15" i="8"/>
  <c r="F15" i="8"/>
  <c r="AC10" i="8"/>
  <c r="X10" i="8"/>
  <c r="W10" i="8"/>
  <c r="V10" i="8"/>
  <c r="O10" i="8"/>
  <c r="N10" i="8"/>
  <c r="M10" i="8"/>
  <c r="J10" i="8"/>
  <c r="I10" i="8"/>
  <c r="H10" i="8"/>
  <c r="G10" i="8"/>
  <c r="F10" i="8"/>
  <c r="AB8" i="8"/>
  <c r="AB10" i="8" s="1"/>
  <c r="AA10" i="8"/>
  <c r="Y8" i="8"/>
  <c r="P8" i="8"/>
  <c r="K8" i="8"/>
  <c r="V4" i="8"/>
  <c r="AD3" i="8"/>
  <c r="AA3" i="8"/>
  <c r="AD110" i="7"/>
  <c r="Y110" i="7"/>
  <c r="AD108" i="7"/>
  <c r="AC108" i="7" s="1"/>
  <c r="Y108" i="7"/>
  <c r="W108" i="7" s="1"/>
  <c r="Y107" i="7"/>
  <c r="P107" i="7"/>
  <c r="AF106" i="7"/>
  <c r="D106" i="7"/>
  <c r="AF105" i="7"/>
  <c r="D105" i="7"/>
  <c r="AF98" i="7"/>
  <c r="D98" i="7"/>
  <c r="AF97" i="7"/>
  <c r="D97" i="7"/>
  <c r="AD92" i="7"/>
  <c r="Y92" i="7"/>
  <c r="K92" i="7"/>
  <c r="AD90" i="7"/>
  <c r="Y90" i="7"/>
  <c r="P90" i="7"/>
  <c r="K90" i="7"/>
  <c r="AD89" i="7"/>
  <c r="Y89" i="7"/>
  <c r="P89" i="7"/>
  <c r="K89" i="7"/>
  <c r="AD88" i="7"/>
  <c r="Y88" i="7"/>
  <c r="P88" i="7"/>
  <c r="K88" i="7"/>
  <c r="AD87" i="7"/>
  <c r="Y87" i="7"/>
  <c r="P87" i="7"/>
  <c r="K87" i="7"/>
  <c r="AD86" i="7"/>
  <c r="Y86" i="7"/>
  <c r="P86" i="7"/>
  <c r="K86" i="7"/>
  <c r="D86" i="7" s="1"/>
  <c r="AD85" i="7"/>
  <c r="Y85" i="7"/>
  <c r="P85" i="7"/>
  <c r="K85" i="7"/>
  <c r="AD84" i="7"/>
  <c r="AD109" i="7" s="1"/>
  <c r="Y84" i="7"/>
  <c r="P84" i="7"/>
  <c r="K84" i="7"/>
  <c r="Y83" i="7"/>
  <c r="P83" i="7"/>
  <c r="K83" i="7"/>
  <c r="AD82" i="7"/>
  <c r="Y82" i="7"/>
  <c r="Y102" i="7" s="1"/>
  <c r="P82" i="7"/>
  <c r="AD81" i="7"/>
  <c r="Y81" i="7"/>
  <c r="P81" i="7"/>
  <c r="D81" i="7" s="1"/>
  <c r="K81" i="7"/>
  <c r="K77" i="7"/>
  <c r="Y76" i="7"/>
  <c r="P76" i="7"/>
  <c r="K76" i="7"/>
  <c r="Y75" i="7"/>
  <c r="P75" i="7"/>
  <c r="K75" i="7"/>
  <c r="P96" i="7"/>
  <c r="AD96" i="7"/>
  <c r="Y70" i="7"/>
  <c r="D70" i="7" s="1"/>
  <c r="AD69" i="7"/>
  <c r="AD99" i="7" s="1"/>
  <c r="AC99" i="7" s="1"/>
  <c r="Y69" i="7"/>
  <c r="Y99" i="7" s="1"/>
  <c r="P69" i="7"/>
  <c r="P99" i="7" s="1"/>
  <c r="K69" i="7"/>
  <c r="AD68" i="7"/>
  <c r="AD27" i="7" s="1"/>
  <c r="AM27" i="7" s="1"/>
  <c r="Y68" i="7"/>
  <c r="P68" i="7"/>
  <c r="K68" i="7"/>
  <c r="AD67" i="7"/>
  <c r="Y67" i="7"/>
  <c r="P67" i="7"/>
  <c r="K67" i="7"/>
  <c r="Y66" i="7"/>
  <c r="P66" i="7"/>
  <c r="K66" i="7"/>
  <c r="AD107" i="7"/>
  <c r="AC107" i="7" s="1"/>
  <c r="K107" i="7"/>
  <c r="AD100" i="7"/>
  <c r="AC100" i="7" s="1"/>
  <c r="Y100" i="7"/>
  <c r="P63" i="7"/>
  <c r="P100" i="7" s="1"/>
  <c r="K63" i="7"/>
  <c r="K100" i="7" s="1"/>
  <c r="AD62" i="7"/>
  <c r="Y62" i="7"/>
  <c r="P62" i="7"/>
  <c r="K62" i="7"/>
  <c r="AD61" i="7"/>
  <c r="Y61" i="7"/>
  <c r="P61" i="7"/>
  <c r="K61" i="7"/>
  <c r="AD60" i="7"/>
  <c r="Y60" i="7"/>
  <c r="P60" i="7"/>
  <c r="K60" i="7"/>
  <c r="AD59" i="7"/>
  <c r="Y59" i="7"/>
  <c r="P59" i="7"/>
  <c r="K59" i="7"/>
  <c r="AD58" i="7"/>
  <c r="Y58" i="7"/>
  <c r="P58" i="7"/>
  <c r="K58" i="7"/>
  <c r="AD57" i="7"/>
  <c r="Y57" i="7"/>
  <c r="P57" i="7"/>
  <c r="K57" i="7"/>
  <c r="AD56" i="7"/>
  <c r="Y56" i="7"/>
  <c r="P56" i="7"/>
  <c r="K56" i="7"/>
  <c r="AD55" i="7"/>
  <c r="Y55" i="7"/>
  <c r="Y38" i="7" s="1"/>
  <c r="AL38" i="7" s="1"/>
  <c r="AS38" i="7" s="1"/>
  <c r="P55" i="7"/>
  <c r="P38" i="7" s="1"/>
  <c r="AJ38" i="7" s="1"/>
  <c r="AQ38" i="7" s="1"/>
  <c r="K55" i="7"/>
  <c r="P108" i="7"/>
  <c r="K108" i="7"/>
  <c r="AD53" i="7"/>
  <c r="Y52" i="7"/>
  <c r="P52" i="7"/>
  <c r="K52" i="7"/>
  <c r="D52" i="7" s="1"/>
  <c r="Y51" i="7"/>
  <c r="P51" i="7"/>
  <c r="P36" i="7" s="1"/>
  <c r="AJ36" i="7" s="1"/>
  <c r="AQ36" i="7" s="1"/>
  <c r="K51" i="7"/>
  <c r="P50" i="7"/>
  <c r="P110" i="7" s="1"/>
  <c r="K50" i="7"/>
  <c r="K110" i="7" s="1"/>
  <c r="K49" i="7"/>
  <c r="Y48" i="7"/>
  <c r="Y35" i="7" s="1"/>
  <c r="AL35" i="7" s="1"/>
  <c r="AS35" i="7" s="1"/>
  <c r="BF35" i="7" s="1"/>
  <c r="P48" i="7"/>
  <c r="K48" i="7"/>
  <c r="AD47" i="7"/>
  <c r="AD33" i="7" s="1"/>
  <c r="AM33" i="7" s="1"/>
  <c r="AT33" i="7" s="1"/>
  <c r="Y47" i="7"/>
  <c r="P47" i="7"/>
  <c r="P33" i="7" s="1"/>
  <c r="AJ33" i="7" s="1"/>
  <c r="AQ33" i="7" s="1"/>
  <c r="K47" i="7"/>
  <c r="K95" i="7" s="1"/>
  <c r="H95" i="7" s="1"/>
  <c r="AD46" i="7"/>
  <c r="AD32" i="7" s="1"/>
  <c r="AM32" i="7" s="1"/>
  <c r="AT32" i="7" s="1"/>
  <c r="Y46" i="7"/>
  <c r="P46" i="7"/>
  <c r="K46" i="7"/>
  <c r="AD45" i="7"/>
  <c r="Y45" i="7"/>
  <c r="P45" i="7"/>
  <c r="K45" i="7"/>
  <c r="AL39" i="7"/>
  <c r="AS39" i="7" s="1"/>
  <c r="BF39" i="7" s="1"/>
  <c r="AH39" i="7"/>
  <c r="AM39" i="7"/>
  <c r="AT39" i="7" s="1"/>
  <c r="AK39" i="7"/>
  <c r="AR39" i="7" s="1"/>
  <c r="AJ39" i="7"/>
  <c r="AQ39" i="7" s="1"/>
  <c r="AH38" i="7"/>
  <c r="AC38" i="7"/>
  <c r="AB38" i="7"/>
  <c r="AA38" i="7"/>
  <c r="X38" i="7"/>
  <c r="W38" i="7"/>
  <c r="V38" i="7"/>
  <c r="T38" i="7"/>
  <c r="AK38" i="7" s="1"/>
  <c r="AR38" i="7" s="1"/>
  <c r="O38" i="7"/>
  <c r="N38" i="7"/>
  <c r="M38" i="7"/>
  <c r="J38" i="7"/>
  <c r="I38" i="7"/>
  <c r="H38" i="7"/>
  <c r="G38" i="7"/>
  <c r="F38" i="7"/>
  <c r="C38" i="7"/>
  <c r="AH37" i="7"/>
  <c r="AD37" i="7"/>
  <c r="AM37" i="7" s="1"/>
  <c r="AT37" i="7" s="1"/>
  <c r="AC37" i="7"/>
  <c r="AB37" i="7"/>
  <c r="AA37" i="7"/>
  <c r="X37" i="7"/>
  <c r="W37" i="7"/>
  <c r="V37" i="7"/>
  <c r="T37" i="7"/>
  <c r="AK37" i="7" s="1"/>
  <c r="AR37" i="7" s="1"/>
  <c r="P37" i="7"/>
  <c r="AJ37" i="7" s="1"/>
  <c r="AQ37" i="7" s="1"/>
  <c r="O37" i="7"/>
  <c r="N37" i="7"/>
  <c r="M37" i="7"/>
  <c r="J37" i="7"/>
  <c r="I37" i="7"/>
  <c r="H37" i="7"/>
  <c r="G37" i="7"/>
  <c r="F37" i="7"/>
  <c r="C37" i="7"/>
  <c r="AH36" i="7"/>
  <c r="X36" i="7"/>
  <c r="W36" i="7"/>
  <c r="V36" i="7"/>
  <c r="O36" i="7"/>
  <c r="N36" i="7"/>
  <c r="M36" i="7"/>
  <c r="J36" i="7"/>
  <c r="I36" i="7"/>
  <c r="H36" i="7"/>
  <c r="G36" i="7"/>
  <c r="F36" i="7"/>
  <c r="C25" i="7"/>
  <c r="AH35" i="7"/>
  <c r="AC35" i="7"/>
  <c r="AB35" i="7"/>
  <c r="AA35" i="7"/>
  <c r="X35" i="7"/>
  <c r="W35" i="7"/>
  <c r="V35" i="7"/>
  <c r="O35" i="7"/>
  <c r="N35" i="7"/>
  <c r="M35" i="7"/>
  <c r="J35" i="7"/>
  <c r="I35" i="7"/>
  <c r="H35" i="7"/>
  <c r="G35" i="7"/>
  <c r="F35" i="7"/>
  <c r="C35" i="7"/>
  <c r="AH34" i="7"/>
  <c r="AD34" i="7"/>
  <c r="AM34" i="7" s="1"/>
  <c r="AT34" i="7" s="1"/>
  <c r="AC34" i="7"/>
  <c r="AB34" i="7"/>
  <c r="AA34" i="7"/>
  <c r="Y34" i="7"/>
  <c r="AL34" i="7" s="1"/>
  <c r="AS34" i="7" s="1"/>
  <c r="X34" i="7"/>
  <c r="W34" i="7"/>
  <c r="V34" i="7"/>
  <c r="T34" i="7"/>
  <c r="AK34" i="7" s="1"/>
  <c r="AR34" i="7" s="1"/>
  <c r="O34" i="7"/>
  <c r="N34" i="7"/>
  <c r="M34" i="7"/>
  <c r="J34" i="7"/>
  <c r="I34" i="7"/>
  <c r="H34" i="7"/>
  <c r="G34" i="7"/>
  <c r="F34" i="7"/>
  <c r="C34" i="7"/>
  <c r="AH33" i="7"/>
  <c r="AC33" i="7"/>
  <c r="AB33" i="7"/>
  <c r="AA33" i="7"/>
  <c r="Y33" i="7"/>
  <c r="AL33" i="7" s="1"/>
  <c r="AS33" i="7" s="1"/>
  <c r="X33" i="7"/>
  <c r="W33" i="7"/>
  <c r="V33" i="7"/>
  <c r="T33" i="7"/>
  <c r="AK33" i="7" s="1"/>
  <c r="AR33" i="7" s="1"/>
  <c r="O33" i="7"/>
  <c r="N33" i="7"/>
  <c r="M33" i="7"/>
  <c r="K33" i="7"/>
  <c r="AI33" i="7" s="1"/>
  <c r="J33" i="7"/>
  <c r="I33" i="7"/>
  <c r="H33" i="7"/>
  <c r="G33" i="7"/>
  <c r="F33" i="7"/>
  <c r="C33" i="7"/>
  <c r="C21" i="7" s="1"/>
  <c r="AH32" i="7"/>
  <c r="AC32" i="7"/>
  <c r="AB32" i="7"/>
  <c r="AA32" i="7"/>
  <c r="Y32" i="7"/>
  <c r="AL32" i="7" s="1"/>
  <c r="AS32" i="7" s="1"/>
  <c r="X32" i="7"/>
  <c r="W32" i="7"/>
  <c r="V32" i="7"/>
  <c r="T32" i="7"/>
  <c r="AK32" i="7" s="1"/>
  <c r="AR32" i="7" s="1"/>
  <c r="P32" i="7"/>
  <c r="AJ32" i="7" s="1"/>
  <c r="AQ32" i="7" s="1"/>
  <c r="O32" i="7"/>
  <c r="N32" i="7"/>
  <c r="M32" i="7"/>
  <c r="J32" i="7"/>
  <c r="I32" i="7"/>
  <c r="H32" i="7"/>
  <c r="G32" i="7"/>
  <c r="F32" i="7"/>
  <c r="C32" i="7"/>
  <c r="AH31" i="7"/>
  <c r="AD31" i="7"/>
  <c r="AM31" i="7" s="1"/>
  <c r="AT31" i="7" s="1"/>
  <c r="AC31" i="7"/>
  <c r="AB31" i="7"/>
  <c r="AA31" i="7"/>
  <c r="Y31" i="7"/>
  <c r="AL31" i="7" s="1"/>
  <c r="AS31" i="7" s="1"/>
  <c r="BF31" i="7" s="1"/>
  <c r="X31" i="7"/>
  <c r="W31" i="7"/>
  <c r="V31" i="7"/>
  <c r="T31" i="7"/>
  <c r="AK31" i="7" s="1"/>
  <c r="AR31" i="7" s="1"/>
  <c r="P31" i="7"/>
  <c r="AJ31" i="7" s="1"/>
  <c r="AQ31" i="7" s="1"/>
  <c r="O31" i="7"/>
  <c r="N31" i="7"/>
  <c r="M31" i="7"/>
  <c r="K31" i="7"/>
  <c r="AI31" i="7" s="1"/>
  <c r="J31" i="7"/>
  <c r="I31" i="7"/>
  <c r="H31" i="7"/>
  <c r="G31" i="7"/>
  <c r="F31" i="7"/>
  <c r="C31" i="7"/>
  <c r="AH30" i="7"/>
  <c r="AD30" i="7"/>
  <c r="AM30" i="7" s="1"/>
  <c r="AT30" i="7" s="1"/>
  <c r="AC30" i="7"/>
  <c r="AB30" i="7"/>
  <c r="AA30" i="7"/>
  <c r="Y30" i="7"/>
  <c r="AL30" i="7" s="1"/>
  <c r="AS30" i="7" s="1"/>
  <c r="X30" i="7"/>
  <c r="W30" i="7"/>
  <c r="V30" i="7"/>
  <c r="T30" i="7"/>
  <c r="AK30" i="7" s="1"/>
  <c r="AR30" i="7" s="1"/>
  <c r="P30" i="7"/>
  <c r="AJ30" i="7" s="1"/>
  <c r="AQ30" i="7" s="1"/>
  <c r="O30" i="7"/>
  <c r="N30" i="7"/>
  <c r="M30" i="7"/>
  <c r="K30" i="7"/>
  <c r="AI30" i="7" s="1"/>
  <c r="J30" i="7"/>
  <c r="I30" i="7"/>
  <c r="H30" i="7"/>
  <c r="G30" i="7"/>
  <c r="F30" i="7"/>
  <c r="C30" i="7"/>
  <c r="AH29" i="7"/>
  <c r="AC29" i="7"/>
  <c r="AB29" i="7"/>
  <c r="AA29" i="7"/>
  <c r="X29" i="7"/>
  <c r="W29" i="7"/>
  <c r="V29" i="7"/>
  <c r="AK29" i="7"/>
  <c r="AR29" i="7" s="1"/>
  <c r="O29" i="7"/>
  <c r="N29" i="7"/>
  <c r="M29" i="7"/>
  <c r="J29" i="7"/>
  <c r="I29" i="7"/>
  <c r="H29" i="7"/>
  <c r="G29" i="7"/>
  <c r="F29" i="7"/>
  <c r="AH28" i="7"/>
  <c r="AD28" i="7"/>
  <c r="AM28" i="7" s="1"/>
  <c r="AT28" i="7" s="1"/>
  <c r="AC28" i="7"/>
  <c r="AB28" i="7"/>
  <c r="AA28" i="7"/>
  <c r="Y28" i="7"/>
  <c r="AL28" i="7" s="1"/>
  <c r="AS28" i="7" s="1"/>
  <c r="X28" i="7"/>
  <c r="W28" i="7"/>
  <c r="V28" i="7"/>
  <c r="T28" i="7"/>
  <c r="AK28" i="7" s="1"/>
  <c r="AR28" i="7" s="1"/>
  <c r="O28" i="7"/>
  <c r="N28" i="7"/>
  <c r="M28" i="7"/>
  <c r="K28" i="7"/>
  <c r="AI28" i="7" s="1"/>
  <c r="J28" i="7"/>
  <c r="I28" i="7"/>
  <c r="H28" i="7"/>
  <c r="G28" i="7"/>
  <c r="F28" i="7"/>
  <c r="C28" i="7"/>
  <c r="AH27" i="7"/>
  <c r="AK27" i="7"/>
  <c r="Y25" i="7"/>
  <c r="P25" i="7"/>
  <c r="K25" i="7"/>
  <c r="Y24" i="7"/>
  <c r="P24" i="7"/>
  <c r="K24" i="7"/>
  <c r="C24" i="7"/>
  <c r="P23" i="7"/>
  <c r="Y22" i="7"/>
  <c r="P22" i="7"/>
  <c r="C22" i="7"/>
  <c r="Y21" i="7"/>
  <c r="K21" i="7"/>
  <c r="Y20" i="7"/>
  <c r="P20" i="7"/>
  <c r="AC15" i="7"/>
  <c r="AB15" i="7"/>
  <c r="AA15" i="7"/>
  <c r="X15" i="7"/>
  <c r="W15" i="7"/>
  <c r="V15" i="7"/>
  <c r="O15" i="7"/>
  <c r="N15" i="7"/>
  <c r="M15" i="7"/>
  <c r="J15" i="7"/>
  <c r="I15" i="7"/>
  <c r="H15" i="7"/>
  <c r="G15" i="7"/>
  <c r="F15" i="7"/>
  <c r="AC10" i="7"/>
  <c r="AA10" i="7"/>
  <c r="X10" i="7"/>
  <c r="W10" i="7"/>
  <c r="V10" i="7"/>
  <c r="O10" i="7"/>
  <c r="N10" i="7"/>
  <c r="M10" i="7"/>
  <c r="J10" i="7"/>
  <c r="I10" i="7"/>
  <c r="H10" i="7"/>
  <c r="G10" i="7"/>
  <c r="F10" i="7"/>
  <c r="AB8" i="7"/>
  <c r="AD8" i="7" s="1"/>
  <c r="AA8" i="7"/>
  <c r="Y8" i="7"/>
  <c r="P8" i="7"/>
  <c r="K8" i="7"/>
  <c r="V4" i="7"/>
  <c r="AD3" i="7"/>
  <c r="AA3" i="7"/>
  <c r="AD110" i="6"/>
  <c r="Y110" i="6"/>
  <c r="C110" i="6"/>
  <c r="AD108" i="6"/>
  <c r="Y108" i="6"/>
  <c r="X108" i="6" s="1"/>
  <c r="C108" i="6"/>
  <c r="Y107" i="6"/>
  <c r="P107" i="6"/>
  <c r="O107" i="6" s="1"/>
  <c r="N107" i="6"/>
  <c r="C107" i="6"/>
  <c r="AF106" i="6"/>
  <c r="D106" i="6"/>
  <c r="AF105" i="6"/>
  <c r="D105" i="6"/>
  <c r="C104" i="6"/>
  <c r="C102" i="6"/>
  <c r="C100" i="6"/>
  <c r="AF98" i="6"/>
  <c r="D98" i="6"/>
  <c r="AF97" i="6"/>
  <c r="D97" i="6"/>
  <c r="C96" i="6"/>
  <c r="C95" i="6"/>
  <c r="AD92" i="6"/>
  <c r="Y92" i="6"/>
  <c r="D92" i="6" s="1"/>
  <c r="K92" i="6"/>
  <c r="AD90" i="6"/>
  <c r="Y90" i="6"/>
  <c r="P90" i="6"/>
  <c r="K90" i="6"/>
  <c r="AD89" i="6"/>
  <c r="Y89" i="6"/>
  <c r="P89" i="6"/>
  <c r="K89" i="6"/>
  <c r="AD88" i="6"/>
  <c r="Y88" i="6"/>
  <c r="P88" i="6"/>
  <c r="K88" i="6"/>
  <c r="AD87" i="6"/>
  <c r="Y87" i="6"/>
  <c r="P87" i="6"/>
  <c r="K87" i="6"/>
  <c r="AD86" i="6"/>
  <c r="Y86" i="6"/>
  <c r="P86" i="6"/>
  <c r="K86" i="6"/>
  <c r="AD85" i="6"/>
  <c r="Y85" i="6"/>
  <c r="P85" i="6"/>
  <c r="K85" i="6"/>
  <c r="AD84" i="6"/>
  <c r="Y84" i="6"/>
  <c r="P84" i="6"/>
  <c r="K84" i="6"/>
  <c r="Y83" i="6"/>
  <c r="P83" i="6"/>
  <c r="K83" i="6"/>
  <c r="AD82" i="6"/>
  <c r="Y82" i="6"/>
  <c r="P82" i="6"/>
  <c r="D82" i="6" s="1"/>
  <c r="AD81" i="6"/>
  <c r="Y81" i="6"/>
  <c r="P81" i="6"/>
  <c r="K81" i="6"/>
  <c r="K77" i="6"/>
  <c r="Y76" i="6"/>
  <c r="P76" i="6"/>
  <c r="K76" i="6"/>
  <c r="Y75" i="6"/>
  <c r="P75" i="6"/>
  <c r="K75" i="6"/>
  <c r="D75" i="6" s="1"/>
  <c r="P96" i="6"/>
  <c r="Y70" i="6"/>
  <c r="K70" i="6"/>
  <c r="AD69" i="6"/>
  <c r="Y69" i="6"/>
  <c r="P69" i="6"/>
  <c r="P99" i="6" s="1"/>
  <c r="K69" i="6"/>
  <c r="AD68" i="6"/>
  <c r="Y68" i="6"/>
  <c r="P68" i="6"/>
  <c r="K68" i="6"/>
  <c r="K102" i="6" s="1"/>
  <c r="AD67" i="6"/>
  <c r="Y67" i="6"/>
  <c r="C101" i="6"/>
  <c r="Y66" i="6"/>
  <c r="P66" i="6"/>
  <c r="K66" i="6"/>
  <c r="AD107" i="6"/>
  <c r="AC107" i="6" s="1"/>
  <c r="K65" i="6"/>
  <c r="AD64" i="6"/>
  <c r="Y64" i="6"/>
  <c r="K64" i="6"/>
  <c r="AD63" i="6"/>
  <c r="AD100" i="6" s="1"/>
  <c r="AC100" i="6" s="1"/>
  <c r="Y63" i="6"/>
  <c r="Y100" i="6" s="1"/>
  <c r="P63" i="6"/>
  <c r="P100" i="6" s="1"/>
  <c r="K63" i="6"/>
  <c r="AD62" i="6"/>
  <c r="Y62" i="6"/>
  <c r="P62" i="6"/>
  <c r="K62" i="6"/>
  <c r="AD61" i="6"/>
  <c r="Y61" i="6"/>
  <c r="P61" i="6"/>
  <c r="K61" i="6"/>
  <c r="AD60" i="6"/>
  <c r="Y60" i="6"/>
  <c r="P60" i="6"/>
  <c r="K60" i="6"/>
  <c r="AD59" i="6"/>
  <c r="Y59" i="6"/>
  <c r="P59" i="6"/>
  <c r="K59" i="6"/>
  <c r="AD58" i="6"/>
  <c r="Y58" i="6"/>
  <c r="P58" i="6"/>
  <c r="K58" i="6"/>
  <c r="AD57" i="6"/>
  <c r="Y57" i="6"/>
  <c r="P57" i="6"/>
  <c r="K57" i="6"/>
  <c r="AD56" i="6"/>
  <c r="Y56" i="6"/>
  <c r="P56" i="6"/>
  <c r="K56" i="6"/>
  <c r="AD55" i="6"/>
  <c r="AD38" i="6" s="1"/>
  <c r="AM38" i="6" s="1"/>
  <c r="AT38" i="6" s="1"/>
  <c r="CE38" i="6" s="1"/>
  <c r="Y55" i="6"/>
  <c r="P55" i="6"/>
  <c r="K55" i="6"/>
  <c r="AD53" i="6"/>
  <c r="Y53" i="6"/>
  <c r="Y103" i="6" s="1"/>
  <c r="P53" i="6"/>
  <c r="P103" i="6" s="1"/>
  <c r="Y52" i="6"/>
  <c r="P52" i="6"/>
  <c r="K52" i="6"/>
  <c r="Y51" i="6"/>
  <c r="P51" i="6"/>
  <c r="K51" i="6"/>
  <c r="P50" i="6"/>
  <c r="P110" i="6" s="1"/>
  <c r="K50" i="6"/>
  <c r="K110" i="6" s="1"/>
  <c r="K49" i="6"/>
  <c r="Y48" i="6"/>
  <c r="Y35" i="6" s="1"/>
  <c r="AL35" i="6" s="1"/>
  <c r="AS35" i="6" s="1"/>
  <c r="CD35" i="6" s="1"/>
  <c r="P48" i="6"/>
  <c r="K48" i="6"/>
  <c r="AD47" i="6"/>
  <c r="Y47" i="6"/>
  <c r="Y33" i="6" s="1"/>
  <c r="AL33" i="6" s="1"/>
  <c r="AS33" i="6" s="1"/>
  <c r="CD33" i="6" s="1"/>
  <c r="P47" i="6"/>
  <c r="P33" i="6" s="1"/>
  <c r="AJ33" i="6" s="1"/>
  <c r="AQ33" i="6" s="1"/>
  <c r="CB33" i="6" s="1"/>
  <c r="K47" i="6"/>
  <c r="D47" i="6" s="1"/>
  <c r="AD46" i="6"/>
  <c r="Y46" i="6"/>
  <c r="P46" i="6"/>
  <c r="P101" i="6" s="1"/>
  <c r="M101" i="6" s="1"/>
  <c r="K46" i="6"/>
  <c r="AD45" i="6"/>
  <c r="Y45" i="6"/>
  <c r="P45" i="6"/>
  <c r="K45" i="6"/>
  <c r="AH39" i="6"/>
  <c r="AM39" i="6"/>
  <c r="AT39" i="6" s="1"/>
  <c r="CE39" i="6" s="1"/>
  <c r="AL39" i="6"/>
  <c r="AS39" i="6" s="1"/>
  <c r="CD39" i="6" s="1"/>
  <c r="AK39" i="6"/>
  <c r="AR39" i="6" s="1"/>
  <c r="CC39" i="6" s="1"/>
  <c r="AJ39" i="6"/>
  <c r="AQ39" i="6" s="1"/>
  <c r="CB39" i="6" s="1"/>
  <c r="AH38" i="6"/>
  <c r="AC38" i="6"/>
  <c r="AB38" i="6"/>
  <c r="AA38" i="6"/>
  <c r="Y38" i="6"/>
  <c r="AL38" i="6" s="1"/>
  <c r="AS38" i="6" s="1"/>
  <c r="CD38" i="6" s="1"/>
  <c r="X38" i="6"/>
  <c r="W38" i="6"/>
  <c r="V38" i="6"/>
  <c r="T38" i="6"/>
  <c r="AK38" i="6" s="1"/>
  <c r="AR38" i="6" s="1"/>
  <c r="CC38" i="6" s="1"/>
  <c r="O38" i="6"/>
  <c r="N38" i="6"/>
  <c r="M38" i="6"/>
  <c r="J38" i="6"/>
  <c r="I38" i="6"/>
  <c r="H38" i="6"/>
  <c r="G38" i="6"/>
  <c r="F38" i="6"/>
  <c r="C38" i="6"/>
  <c r="AH37" i="6"/>
  <c r="AC37" i="6"/>
  <c r="AB37" i="6"/>
  <c r="AA37" i="6"/>
  <c r="X37" i="6"/>
  <c r="W37" i="6"/>
  <c r="V37" i="6"/>
  <c r="T37" i="6"/>
  <c r="AK37" i="6" s="1"/>
  <c r="AR37" i="6" s="1"/>
  <c r="CC37" i="6" s="1"/>
  <c r="P37" i="6"/>
  <c r="AJ37" i="6" s="1"/>
  <c r="AQ37" i="6" s="1"/>
  <c r="CB37" i="6" s="1"/>
  <c r="O37" i="6"/>
  <c r="N37" i="6"/>
  <c r="M37" i="6"/>
  <c r="J37" i="6"/>
  <c r="I37" i="6"/>
  <c r="H37" i="6"/>
  <c r="G37" i="6"/>
  <c r="F37" i="6"/>
  <c r="C37" i="6"/>
  <c r="AH36" i="6"/>
  <c r="AH35" i="6"/>
  <c r="AC35" i="6"/>
  <c r="AB35" i="6"/>
  <c r="AA35" i="6"/>
  <c r="X35" i="6"/>
  <c r="W35" i="6"/>
  <c r="V35" i="6"/>
  <c r="O35" i="6"/>
  <c r="N35" i="6"/>
  <c r="M35" i="6"/>
  <c r="J35" i="6"/>
  <c r="I35" i="6"/>
  <c r="H35" i="6"/>
  <c r="G35" i="6"/>
  <c r="F35" i="6"/>
  <c r="AH34" i="6"/>
  <c r="AD34" i="6"/>
  <c r="AM34" i="6" s="1"/>
  <c r="AT34" i="6" s="1"/>
  <c r="CE34" i="6" s="1"/>
  <c r="AC34" i="6"/>
  <c r="AB34" i="6"/>
  <c r="AA34" i="6"/>
  <c r="Y34" i="6"/>
  <c r="AL34" i="6" s="1"/>
  <c r="AS34" i="6" s="1"/>
  <c r="CD34" i="6" s="1"/>
  <c r="X34" i="6"/>
  <c r="W34" i="6"/>
  <c r="V34" i="6"/>
  <c r="T34" i="6"/>
  <c r="AK34" i="6" s="1"/>
  <c r="AR34" i="6" s="1"/>
  <c r="CC34" i="6" s="1"/>
  <c r="O34" i="6"/>
  <c r="N34" i="6"/>
  <c r="M34" i="6"/>
  <c r="K34" i="6"/>
  <c r="AI34" i="6" s="1"/>
  <c r="J34" i="6"/>
  <c r="I34" i="6"/>
  <c r="H34" i="6"/>
  <c r="G34" i="6"/>
  <c r="F34" i="6"/>
  <c r="C34" i="6"/>
  <c r="AH33" i="6"/>
  <c r="AD33" i="6"/>
  <c r="AM33" i="6" s="1"/>
  <c r="AT33" i="6" s="1"/>
  <c r="CE33" i="6" s="1"/>
  <c r="AC33" i="6"/>
  <c r="AB33" i="6"/>
  <c r="AA33" i="6"/>
  <c r="X33" i="6"/>
  <c r="W33" i="6"/>
  <c r="V33" i="6"/>
  <c r="T33" i="6"/>
  <c r="AK33" i="6" s="1"/>
  <c r="AR33" i="6" s="1"/>
  <c r="CC33" i="6" s="1"/>
  <c r="O33" i="6"/>
  <c r="N33" i="6"/>
  <c r="M33" i="6"/>
  <c r="K33" i="6"/>
  <c r="AI33" i="6" s="1"/>
  <c r="J33" i="6"/>
  <c r="I33" i="6"/>
  <c r="H33" i="6"/>
  <c r="G33" i="6"/>
  <c r="F33" i="6"/>
  <c r="C33" i="6"/>
  <c r="AH32" i="6"/>
  <c r="AD32" i="6"/>
  <c r="AM32" i="6" s="1"/>
  <c r="AT32" i="6" s="1"/>
  <c r="CE32" i="6" s="1"/>
  <c r="AC32" i="6"/>
  <c r="AB32" i="6"/>
  <c r="AA32" i="6"/>
  <c r="Y32" i="6"/>
  <c r="AL32" i="6" s="1"/>
  <c r="AS32" i="6" s="1"/>
  <c r="CD32" i="6" s="1"/>
  <c r="X32" i="6"/>
  <c r="W32" i="6"/>
  <c r="V32" i="6"/>
  <c r="T32" i="6"/>
  <c r="AK32" i="6" s="1"/>
  <c r="AR32" i="6" s="1"/>
  <c r="CC32" i="6" s="1"/>
  <c r="P32" i="6"/>
  <c r="AJ32" i="6" s="1"/>
  <c r="AQ32" i="6" s="1"/>
  <c r="CB32" i="6" s="1"/>
  <c r="O32" i="6"/>
  <c r="N32" i="6"/>
  <c r="M32" i="6"/>
  <c r="K32" i="6"/>
  <c r="AI32" i="6" s="1"/>
  <c r="J32" i="6"/>
  <c r="I32" i="6"/>
  <c r="H32" i="6"/>
  <c r="G32" i="6"/>
  <c r="F32" i="6"/>
  <c r="C32" i="6"/>
  <c r="AL31" i="6"/>
  <c r="AS31" i="6" s="1"/>
  <c r="CD31" i="6" s="1"/>
  <c r="AH31" i="6"/>
  <c r="AD31" i="6"/>
  <c r="AM31" i="6" s="1"/>
  <c r="AT31" i="6" s="1"/>
  <c r="CE31" i="6" s="1"/>
  <c r="AC31" i="6"/>
  <c r="AB31" i="6"/>
  <c r="AA31" i="6"/>
  <c r="Y31" i="6"/>
  <c r="X31" i="6"/>
  <c r="W31" i="6"/>
  <c r="V31" i="6"/>
  <c r="T31" i="6"/>
  <c r="AK31" i="6" s="1"/>
  <c r="AR31" i="6" s="1"/>
  <c r="CC31" i="6" s="1"/>
  <c r="P31" i="6"/>
  <c r="AJ31" i="6" s="1"/>
  <c r="AQ31" i="6" s="1"/>
  <c r="CB31" i="6" s="1"/>
  <c r="O31" i="6"/>
  <c r="N31" i="6"/>
  <c r="M31" i="6"/>
  <c r="J31" i="6"/>
  <c r="I31" i="6"/>
  <c r="H31" i="6"/>
  <c r="G31" i="6"/>
  <c r="F31" i="6"/>
  <c r="C31" i="6"/>
  <c r="AM30" i="6"/>
  <c r="AT30" i="6" s="1"/>
  <c r="CE30" i="6" s="1"/>
  <c r="AH30" i="6"/>
  <c r="AD30" i="6"/>
  <c r="AC30" i="6"/>
  <c r="AB30" i="6"/>
  <c r="AA30" i="6"/>
  <c r="Y30" i="6"/>
  <c r="AL30" i="6" s="1"/>
  <c r="AS30" i="6" s="1"/>
  <c r="CD30" i="6" s="1"/>
  <c r="X30" i="6"/>
  <c r="W30" i="6"/>
  <c r="V30" i="6"/>
  <c r="T30" i="6"/>
  <c r="AK30" i="6" s="1"/>
  <c r="AR30" i="6" s="1"/>
  <c r="CC30" i="6" s="1"/>
  <c r="P30" i="6"/>
  <c r="AJ30" i="6" s="1"/>
  <c r="AQ30" i="6" s="1"/>
  <c r="CB30" i="6" s="1"/>
  <c r="O30" i="6"/>
  <c r="N30" i="6"/>
  <c r="M30" i="6"/>
  <c r="K30" i="6"/>
  <c r="AI30" i="6" s="1"/>
  <c r="J30" i="6"/>
  <c r="I30" i="6"/>
  <c r="H30" i="6"/>
  <c r="G30" i="6"/>
  <c r="F30" i="6"/>
  <c r="C30" i="6"/>
  <c r="AH29" i="6"/>
  <c r="AC29" i="6"/>
  <c r="AB29" i="6"/>
  <c r="AA29" i="6"/>
  <c r="X29" i="6"/>
  <c r="W29" i="6"/>
  <c r="V29" i="6"/>
  <c r="AK29" i="6"/>
  <c r="AR29" i="6" s="1"/>
  <c r="CC29" i="6" s="1"/>
  <c r="O29" i="6"/>
  <c r="N29" i="6"/>
  <c r="M29" i="6"/>
  <c r="J29" i="6"/>
  <c r="I29" i="6"/>
  <c r="H29" i="6"/>
  <c r="G29" i="6"/>
  <c r="F29" i="6"/>
  <c r="AH28" i="6"/>
  <c r="AD28" i="6"/>
  <c r="AM28" i="6" s="1"/>
  <c r="AT28" i="6" s="1"/>
  <c r="CE28" i="6" s="1"/>
  <c r="AC28" i="6"/>
  <c r="AB28" i="6"/>
  <c r="AA28" i="6"/>
  <c r="Y28" i="6"/>
  <c r="AL28" i="6" s="1"/>
  <c r="AS28" i="6" s="1"/>
  <c r="CD28" i="6" s="1"/>
  <c r="X28" i="6"/>
  <c r="W28" i="6"/>
  <c r="V28" i="6"/>
  <c r="T28" i="6"/>
  <c r="AK28" i="6" s="1"/>
  <c r="AR28" i="6" s="1"/>
  <c r="CC28" i="6" s="1"/>
  <c r="P28" i="6"/>
  <c r="AJ28" i="6" s="1"/>
  <c r="AQ28" i="6" s="1"/>
  <c r="CB28" i="6" s="1"/>
  <c r="O28" i="6"/>
  <c r="N28" i="6"/>
  <c r="M28" i="6"/>
  <c r="K28" i="6"/>
  <c r="AI28" i="6" s="1"/>
  <c r="AP28" i="6" s="1"/>
  <c r="J28" i="6"/>
  <c r="I28" i="6"/>
  <c r="H28" i="6"/>
  <c r="G28" i="6"/>
  <c r="F28" i="6"/>
  <c r="C28" i="6"/>
  <c r="AH27" i="6"/>
  <c r="AC27" i="6"/>
  <c r="AB27" i="6"/>
  <c r="AA27" i="6"/>
  <c r="X27" i="6"/>
  <c r="W27" i="6"/>
  <c r="V27" i="6"/>
  <c r="T27" i="6"/>
  <c r="AK27" i="6" s="1"/>
  <c r="O27" i="6"/>
  <c r="N27" i="6"/>
  <c r="M27" i="6"/>
  <c r="K27" i="6"/>
  <c r="AI27" i="6" s="1"/>
  <c r="J27" i="6"/>
  <c r="I27" i="6"/>
  <c r="H27" i="6"/>
  <c r="G27" i="6"/>
  <c r="F27" i="6"/>
  <c r="C27" i="6"/>
  <c r="Y25" i="6"/>
  <c r="P25" i="6"/>
  <c r="K25" i="6"/>
  <c r="C25" i="6"/>
  <c r="Y24" i="6"/>
  <c r="P24" i="6"/>
  <c r="K24" i="6"/>
  <c r="P23" i="6"/>
  <c r="Y22" i="6"/>
  <c r="P22" i="6"/>
  <c r="Y21" i="6"/>
  <c r="K21" i="6"/>
  <c r="C21" i="6"/>
  <c r="Y20" i="6"/>
  <c r="P20" i="6"/>
  <c r="AC15" i="6"/>
  <c r="AB15" i="6"/>
  <c r="AA15" i="6"/>
  <c r="X15" i="6"/>
  <c r="W15" i="6"/>
  <c r="V15" i="6"/>
  <c r="R15" i="6"/>
  <c r="O15" i="6"/>
  <c r="N15" i="6"/>
  <c r="M15" i="6"/>
  <c r="J15" i="6"/>
  <c r="I15" i="6"/>
  <c r="H15" i="6"/>
  <c r="G15" i="6"/>
  <c r="F15" i="6"/>
  <c r="AC10" i="6"/>
  <c r="X10" i="6"/>
  <c r="W10" i="6"/>
  <c r="V10" i="6"/>
  <c r="O10" i="6"/>
  <c r="N10" i="6"/>
  <c r="M10" i="6"/>
  <c r="J10" i="6"/>
  <c r="I10" i="6"/>
  <c r="H10" i="6"/>
  <c r="G10" i="6"/>
  <c r="F10" i="6"/>
  <c r="AB8" i="6"/>
  <c r="AB10" i="6" s="1"/>
  <c r="AA8" i="6"/>
  <c r="AA10" i="6" s="1"/>
  <c r="Y8" i="6"/>
  <c r="P8" i="6"/>
  <c r="K8" i="6"/>
  <c r="V4" i="6"/>
  <c r="AD3" i="6"/>
  <c r="AA3" i="6"/>
  <c r="K65" i="5"/>
  <c r="AD65" i="5"/>
  <c r="P101" i="7" l="1"/>
  <c r="Y109" i="10"/>
  <c r="Y36" i="6"/>
  <c r="AL36" i="6" s="1"/>
  <c r="AS36" i="6" s="1"/>
  <c r="CD36" i="6" s="1"/>
  <c r="P38" i="6"/>
  <c r="AJ38" i="6" s="1"/>
  <c r="AQ38" i="6" s="1"/>
  <c r="CB38" i="6" s="1"/>
  <c r="D62" i="6"/>
  <c r="Y27" i="6"/>
  <c r="AL27" i="6" s="1"/>
  <c r="K35" i="6"/>
  <c r="AI35" i="6" s="1"/>
  <c r="D83" i="6"/>
  <c r="P104" i="6"/>
  <c r="D46" i="7"/>
  <c r="K35" i="7"/>
  <c r="AI35" i="7" s="1"/>
  <c r="D61" i="7"/>
  <c r="P102" i="7"/>
  <c r="P104" i="7"/>
  <c r="D62" i="8"/>
  <c r="AN30" i="9"/>
  <c r="P32" i="9"/>
  <c r="AJ32" i="9" s="1"/>
  <c r="AQ32" i="9" s="1"/>
  <c r="D75" i="9"/>
  <c r="P35" i="9"/>
  <c r="AJ35" i="9" s="1"/>
  <c r="D47" i="10"/>
  <c r="K35" i="10"/>
  <c r="AI35" i="10" s="1"/>
  <c r="D110" i="10"/>
  <c r="D61" i="10"/>
  <c r="Y101" i="10"/>
  <c r="P102" i="10"/>
  <c r="Y38" i="10"/>
  <c r="AL38" i="10" s="1"/>
  <c r="AS38" i="10" s="1"/>
  <c r="K10" i="11"/>
  <c r="V17" i="11"/>
  <c r="I17" i="11"/>
  <c r="D88" i="11"/>
  <c r="O107" i="11"/>
  <c r="D51" i="12"/>
  <c r="D62" i="12"/>
  <c r="AD101" i="12"/>
  <c r="AD95" i="12"/>
  <c r="AC95" i="12" s="1"/>
  <c r="K35" i="12"/>
  <c r="AI35" i="12" s="1"/>
  <c r="AP35" i="12" s="1"/>
  <c r="BC35" i="12" s="1"/>
  <c r="D83" i="12"/>
  <c r="D85" i="12"/>
  <c r="X108" i="12"/>
  <c r="P34" i="13"/>
  <c r="AJ34" i="13" s="1"/>
  <c r="AQ34" i="13" s="1"/>
  <c r="D68" i="13"/>
  <c r="AD95" i="13"/>
  <c r="AC95" i="13" s="1"/>
  <c r="D86" i="13"/>
  <c r="K38" i="13"/>
  <c r="AI38" i="13" s="1"/>
  <c r="AD28" i="14"/>
  <c r="AM28" i="14" s="1"/>
  <c r="AT28" i="14" s="1"/>
  <c r="Y38" i="14"/>
  <c r="AL38" i="14" s="1"/>
  <c r="AS38" i="14" s="1"/>
  <c r="D70" i="14"/>
  <c r="K32" i="15"/>
  <c r="AI32" i="15" s="1"/>
  <c r="P33" i="15"/>
  <c r="AJ33" i="15" s="1"/>
  <c r="AQ33" i="15" s="1"/>
  <c r="K34" i="15"/>
  <c r="AI34" i="15" s="1"/>
  <c r="P35" i="6"/>
  <c r="AJ35" i="6" s="1"/>
  <c r="AQ35" i="6" s="1"/>
  <c r="CB35" i="6" s="1"/>
  <c r="AD104" i="15"/>
  <c r="AD36" i="6"/>
  <c r="Y10" i="7"/>
  <c r="AD38" i="7"/>
  <c r="AM38" i="7" s="1"/>
  <c r="AT38" i="7" s="1"/>
  <c r="AD95" i="7"/>
  <c r="AC95" i="7" s="1"/>
  <c r="P35" i="7"/>
  <c r="AJ35" i="7" s="1"/>
  <c r="AQ35" i="7" s="1"/>
  <c r="AD10" i="8"/>
  <c r="W17" i="8"/>
  <c r="AC17" i="8"/>
  <c r="D110" i="8"/>
  <c r="D84" i="8"/>
  <c r="D86" i="8"/>
  <c r="V17" i="9"/>
  <c r="P28" i="9"/>
  <c r="AJ28" i="9" s="1"/>
  <c r="AQ28" i="9" s="1"/>
  <c r="D60" i="10"/>
  <c r="D62" i="10"/>
  <c r="K95" i="10"/>
  <c r="P35" i="10"/>
  <c r="AJ35" i="10" s="1"/>
  <c r="AQ35" i="10" s="1"/>
  <c r="D86" i="10"/>
  <c r="D88" i="10"/>
  <c r="D90" i="10"/>
  <c r="D92" i="10"/>
  <c r="D110" i="11"/>
  <c r="D68" i="11"/>
  <c r="D81" i="11"/>
  <c r="Y109" i="11"/>
  <c r="P101" i="12"/>
  <c r="P95" i="12"/>
  <c r="O95" i="12" s="1"/>
  <c r="AD37" i="12"/>
  <c r="AM37" i="12" s="1"/>
  <c r="AT37" i="12" s="1"/>
  <c r="Y35" i="12"/>
  <c r="AL35" i="12" s="1"/>
  <c r="AS35" i="12" s="1"/>
  <c r="D52" i="13"/>
  <c r="D59" i="13"/>
  <c r="D60" i="13"/>
  <c r="D62" i="13"/>
  <c r="P33" i="13"/>
  <c r="AJ33" i="13" s="1"/>
  <c r="AQ33" i="13" s="1"/>
  <c r="AD37" i="13"/>
  <c r="AM37" i="13" s="1"/>
  <c r="AT37" i="13" s="1"/>
  <c r="Y38" i="13"/>
  <c r="AL38" i="13" s="1"/>
  <c r="AS38" i="13" s="1"/>
  <c r="AM36" i="14"/>
  <c r="AT36" i="14" s="1"/>
  <c r="D57" i="14"/>
  <c r="D58" i="14"/>
  <c r="D60" i="14"/>
  <c r="P28" i="15"/>
  <c r="AJ28" i="15" s="1"/>
  <c r="AQ28" i="15" s="1"/>
  <c r="C32" i="15"/>
  <c r="C22" i="15" s="1"/>
  <c r="AD38" i="15"/>
  <c r="AM38" i="15" s="1"/>
  <c r="AT38" i="15" s="1"/>
  <c r="K35" i="15"/>
  <c r="AI35" i="15" s="1"/>
  <c r="D85" i="15"/>
  <c r="D87" i="15"/>
  <c r="D89" i="15"/>
  <c r="D92" i="15"/>
  <c r="Y36" i="7"/>
  <c r="AL36" i="7" s="1"/>
  <c r="AS36" i="7" s="1"/>
  <c r="K36" i="6"/>
  <c r="AI36" i="6" s="1"/>
  <c r="D60" i="6"/>
  <c r="D87" i="6"/>
  <c r="D89" i="6"/>
  <c r="P34" i="7"/>
  <c r="AJ34" i="7" s="1"/>
  <c r="AQ34" i="7" s="1"/>
  <c r="K36" i="7"/>
  <c r="AI36" i="7" s="1"/>
  <c r="AP36" i="7" s="1"/>
  <c r="D59" i="7"/>
  <c r="K28" i="8"/>
  <c r="AI28" i="8" s="1"/>
  <c r="AP28" i="8" s="1"/>
  <c r="D47" i="8"/>
  <c r="D52" i="8"/>
  <c r="K35" i="8"/>
  <c r="AI35" i="8" s="1"/>
  <c r="D82" i="8"/>
  <c r="P38" i="8"/>
  <c r="AJ38" i="8" s="1"/>
  <c r="AQ38" i="8" s="1"/>
  <c r="D45" i="9"/>
  <c r="AB17" i="11"/>
  <c r="P35" i="11"/>
  <c r="AJ35" i="11" s="1"/>
  <c r="AQ35" i="11" s="1"/>
  <c r="D84" i="11"/>
  <c r="P28" i="12"/>
  <c r="AJ28" i="12" s="1"/>
  <c r="AQ28" i="12" s="1"/>
  <c r="AD38" i="12"/>
  <c r="AM38" i="12" s="1"/>
  <c r="AT38" i="12" s="1"/>
  <c r="AD102" i="12"/>
  <c r="D87" i="12"/>
  <c r="AC17" i="13"/>
  <c r="D47" i="13"/>
  <c r="D50" i="13"/>
  <c r="D34" i="13" s="1"/>
  <c r="P36" i="13"/>
  <c r="AJ36" i="13" s="1"/>
  <c r="AQ36" i="13" s="1"/>
  <c r="P38" i="13"/>
  <c r="AJ38" i="13" s="1"/>
  <c r="AQ38" i="13" s="1"/>
  <c r="D81" i="13"/>
  <c r="Y102" i="13"/>
  <c r="Y109" i="13"/>
  <c r="D110" i="13"/>
  <c r="D61" i="14"/>
  <c r="K35" i="14"/>
  <c r="AI35" i="14" s="1"/>
  <c r="AP35" i="14" s="1"/>
  <c r="BO35" i="14" s="1"/>
  <c r="D55" i="15"/>
  <c r="D59" i="15"/>
  <c r="D60" i="15"/>
  <c r="D62" i="15"/>
  <c r="D63" i="15"/>
  <c r="D28" i="15" s="1"/>
  <c r="K67" i="15"/>
  <c r="D68" i="15"/>
  <c r="AD27" i="15"/>
  <c r="AM27" i="15" s="1"/>
  <c r="BO28" i="6"/>
  <c r="CA28" i="6"/>
  <c r="Y102" i="6"/>
  <c r="K102" i="7"/>
  <c r="K27" i="7"/>
  <c r="AI27" i="7" s="1"/>
  <c r="K36" i="8"/>
  <c r="AI36" i="8" s="1"/>
  <c r="D49" i="8"/>
  <c r="P110" i="14"/>
  <c r="D110" i="14" s="1"/>
  <c r="P34" i="14"/>
  <c r="AJ34" i="14" s="1"/>
  <c r="AQ34" i="14" s="1"/>
  <c r="P103" i="14"/>
  <c r="P29" i="14"/>
  <c r="AJ29" i="14" s="1"/>
  <c r="AQ29" i="14" s="1"/>
  <c r="AD8" i="6"/>
  <c r="P34" i="6"/>
  <c r="AJ34" i="6" s="1"/>
  <c r="AQ34" i="6" s="1"/>
  <c r="CB34" i="6" s="1"/>
  <c r="D45" i="6"/>
  <c r="D49" i="6"/>
  <c r="D56" i="6"/>
  <c r="AD102" i="6"/>
  <c r="AD109" i="6"/>
  <c r="Y104" i="6"/>
  <c r="W108" i="6"/>
  <c r="P27" i="7"/>
  <c r="AJ27" i="7" s="1"/>
  <c r="D84" i="7"/>
  <c r="D90" i="7"/>
  <c r="M107" i="7"/>
  <c r="N107" i="7"/>
  <c r="O107" i="7"/>
  <c r="K35" i="9"/>
  <c r="AI35" i="9" s="1"/>
  <c r="AP35" i="9" s="1"/>
  <c r="P36" i="9"/>
  <c r="AJ36" i="9" s="1"/>
  <c r="AQ36" i="9" s="1"/>
  <c r="D51" i="9"/>
  <c r="AD38" i="9"/>
  <c r="AM38" i="9" s="1"/>
  <c r="AT38" i="9" s="1"/>
  <c r="BS38" i="9" s="1"/>
  <c r="AD95" i="9"/>
  <c r="AC95" i="9" s="1"/>
  <c r="AD33" i="9"/>
  <c r="AM33" i="9" s="1"/>
  <c r="AT33" i="9" s="1"/>
  <c r="CE33" i="9" s="1"/>
  <c r="C101" i="9"/>
  <c r="C32" i="9"/>
  <c r="C22" i="9" s="1"/>
  <c r="K67" i="9"/>
  <c r="D66" i="13"/>
  <c r="P35" i="13"/>
  <c r="AJ35" i="13" s="1"/>
  <c r="AQ35" i="13" s="1"/>
  <c r="M108" i="7"/>
  <c r="O108" i="7" s="1"/>
  <c r="N108" i="7"/>
  <c r="D69" i="6"/>
  <c r="D81" i="6"/>
  <c r="D85" i="6"/>
  <c r="AD104" i="6"/>
  <c r="P28" i="7"/>
  <c r="AJ28" i="7" s="1"/>
  <c r="AQ28" i="7" s="1"/>
  <c r="Y27" i="7"/>
  <c r="AL27" i="7" s="1"/>
  <c r="AS27" i="7" s="1"/>
  <c r="Y95" i="7"/>
  <c r="AD101" i="8"/>
  <c r="K100" i="9"/>
  <c r="K28" i="9"/>
  <c r="AI28" i="9" s="1"/>
  <c r="AD101" i="15"/>
  <c r="AD32" i="15"/>
  <c r="AM32" i="15" s="1"/>
  <c r="AT32" i="15" s="1"/>
  <c r="K109" i="15"/>
  <c r="D46" i="9"/>
  <c r="Y32" i="9"/>
  <c r="AL32" i="9" s="1"/>
  <c r="AS32" i="9" s="1"/>
  <c r="K100" i="12"/>
  <c r="AF100" i="12" s="1"/>
  <c r="K28" i="12"/>
  <c r="AI28" i="12" s="1"/>
  <c r="AP28" i="12" s="1"/>
  <c r="AD107" i="12"/>
  <c r="AC107" i="12" s="1"/>
  <c r="AD31" i="12"/>
  <c r="AM31" i="12" s="1"/>
  <c r="AT31" i="12" s="1"/>
  <c r="D46" i="6"/>
  <c r="AD103" i="6"/>
  <c r="AD29" i="6"/>
  <c r="AM29" i="6" s="1"/>
  <c r="AT29" i="6" s="1"/>
  <c r="CE29" i="6" s="1"/>
  <c r="Y101" i="6"/>
  <c r="P109" i="6"/>
  <c r="K103" i="6"/>
  <c r="K29" i="6"/>
  <c r="AI29" i="6" s="1"/>
  <c r="K34" i="7"/>
  <c r="AI34" i="7" s="1"/>
  <c r="D47" i="7"/>
  <c r="D50" i="7"/>
  <c r="D34" i="7" s="1"/>
  <c r="D69" i="7"/>
  <c r="K99" i="7"/>
  <c r="AD102" i="7"/>
  <c r="D102" i="7" s="1"/>
  <c r="D85" i="7"/>
  <c r="AD36" i="7"/>
  <c r="P36" i="8"/>
  <c r="AJ36" i="8" s="1"/>
  <c r="AQ36" i="8" s="1"/>
  <c r="D51" i="8"/>
  <c r="D57" i="8"/>
  <c r="D59" i="8"/>
  <c r="D61" i="8"/>
  <c r="D66" i="11"/>
  <c r="K35" i="11"/>
  <c r="AI35" i="11" s="1"/>
  <c r="AP35" i="11" s="1"/>
  <c r="K95" i="11"/>
  <c r="D45" i="12"/>
  <c r="D46" i="13"/>
  <c r="D52" i="15"/>
  <c r="P36" i="6"/>
  <c r="AJ36" i="6" s="1"/>
  <c r="AQ36" i="6" s="1"/>
  <c r="CB36" i="6" s="1"/>
  <c r="D55" i="6"/>
  <c r="D57" i="6"/>
  <c r="D59" i="6"/>
  <c r="AD101" i="6"/>
  <c r="Y109" i="6"/>
  <c r="F17" i="7"/>
  <c r="P93" i="7"/>
  <c r="D58" i="7"/>
  <c r="K109" i="7"/>
  <c r="D87" i="7"/>
  <c r="D89" i="7"/>
  <c r="AD104" i="7"/>
  <c r="D110" i="7"/>
  <c r="P100" i="8"/>
  <c r="P28" i="8"/>
  <c r="AJ28" i="8" s="1"/>
  <c r="AQ28" i="8" s="1"/>
  <c r="P102" i="9"/>
  <c r="D82" i="9"/>
  <c r="AD32" i="12"/>
  <c r="AM32" i="12" s="1"/>
  <c r="AT32" i="12" s="1"/>
  <c r="Y38" i="12"/>
  <c r="AL38" i="12" s="1"/>
  <c r="AS38" i="12" s="1"/>
  <c r="BR38" i="12" s="1"/>
  <c r="K109" i="14"/>
  <c r="K109" i="6"/>
  <c r="Y95" i="8"/>
  <c r="Y33" i="8"/>
  <c r="AL33" i="8" s="1"/>
  <c r="AS33" i="8" s="1"/>
  <c r="BF33" i="8" s="1"/>
  <c r="D61" i="6"/>
  <c r="D84" i="6"/>
  <c r="D86" i="6"/>
  <c r="D110" i="6"/>
  <c r="AD103" i="7"/>
  <c r="AD29" i="7"/>
  <c r="AM29" i="7" s="1"/>
  <c r="AT29" i="7" s="1"/>
  <c r="D60" i="7"/>
  <c r="D62" i="7"/>
  <c r="Y101" i="7"/>
  <c r="P109" i="7"/>
  <c r="P35" i="8"/>
  <c r="AJ35" i="8" s="1"/>
  <c r="AQ35" i="8" s="1"/>
  <c r="D87" i="8"/>
  <c r="D62" i="9"/>
  <c r="D110" i="9"/>
  <c r="X110" i="9"/>
  <c r="W110" i="9"/>
  <c r="Y10" i="10"/>
  <c r="P110" i="12"/>
  <c r="D110" i="12" s="1"/>
  <c r="P34" i="12"/>
  <c r="AJ34" i="12" s="1"/>
  <c r="AQ34" i="12" s="1"/>
  <c r="AD36" i="13"/>
  <c r="P100" i="14"/>
  <c r="P28" i="14"/>
  <c r="AJ28" i="14" s="1"/>
  <c r="AQ28" i="14" s="1"/>
  <c r="AD101" i="14"/>
  <c r="AD32" i="14"/>
  <c r="AM32" i="14" s="1"/>
  <c r="AT32" i="14" s="1"/>
  <c r="BG32" i="14" s="1"/>
  <c r="P110" i="15"/>
  <c r="D110" i="15" s="1"/>
  <c r="P34" i="15"/>
  <c r="AJ34" i="15" s="1"/>
  <c r="AQ34" i="15" s="1"/>
  <c r="P27" i="6"/>
  <c r="AJ27" i="6" s="1"/>
  <c r="D52" i="6"/>
  <c r="Y95" i="6"/>
  <c r="P102" i="6"/>
  <c r="D88" i="6"/>
  <c r="D90" i="6"/>
  <c r="D51" i="7"/>
  <c r="G107" i="7"/>
  <c r="H107" i="7"/>
  <c r="AD101" i="7"/>
  <c r="Y109" i="7"/>
  <c r="P109" i="8"/>
  <c r="D83" i="8"/>
  <c r="AD103" i="10"/>
  <c r="AD29" i="10"/>
  <c r="AM29" i="10" s="1"/>
  <c r="AT29" i="10" s="1"/>
  <c r="D47" i="11"/>
  <c r="K33" i="11"/>
  <c r="AI33" i="11" s="1"/>
  <c r="D92" i="7"/>
  <c r="K103" i="7"/>
  <c r="K29" i="7"/>
  <c r="AI29" i="7" s="1"/>
  <c r="Y27" i="8"/>
  <c r="AL27" i="8" s="1"/>
  <c r="AS27" i="8" s="1"/>
  <c r="AD95" i="8"/>
  <c r="AC95" i="8" s="1"/>
  <c r="P102" i="8"/>
  <c r="D88" i="8"/>
  <c r="D90" i="8"/>
  <c r="D50" i="9"/>
  <c r="D34" i="9" s="1"/>
  <c r="Y104" i="9"/>
  <c r="D59" i="9"/>
  <c r="D84" i="9"/>
  <c r="K33" i="10"/>
  <c r="AI33" i="10" s="1"/>
  <c r="AP33" i="10" s="1"/>
  <c r="Y36" i="10"/>
  <c r="AL36" i="10" s="1"/>
  <c r="AS36" i="10" s="1"/>
  <c r="P27" i="10"/>
  <c r="AJ27" i="10" s="1"/>
  <c r="P95" i="10"/>
  <c r="M95" i="10" s="1"/>
  <c r="D84" i="10"/>
  <c r="K32" i="11"/>
  <c r="AI32" i="11" s="1"/>
  <c r="D50" i="11"/>
  <c r="D34" i="11" s="1"/>
  <c r="D55" i="11"/>
  <c r="P27" i="11"/>
  <c r="AJ27" i="11" s="1"/>
  <c r="AQ27" i="11" s="1"/>
  <c r="P103" i="12"/>
  <c r="P29" i="12"/>
  <c r="AJ29" i="12" s="1"/>
  <c r="AQ29" i="12" s="1"/>
  <c r="D66" i="12"/>
  <c r="D68" i="12"/>
  <c r="D81" i="12"/>
  <c r="AD104" i="12"/>
  <c r="D49" i="13"/>
  <c r="K36" i="13"/>
  <c r="AI36" i="13" s="1"/>
  <c r="K99" i="13"/>
  <c r="K27" i="13"/>
  <c r="AI27" i="13" s="1"/>
  <c r="T76" i="13"/>
  <c r="T75" i="13"/>
  <c r="T48" i="13"/>
  <c r="K95" i="13"/>
  <c r="D51" i="14"/>
  <c r="Y103" i="14"/>
  <c r="V103" i="14" s="1"/>
  <c r="Y29" i="14"/>
  <c r="AL29" i="14" s="1"/>
  <c r="AS29" i="14" s="1"/>
  <c r="D56" i="14"/>
  <c r="D68" i="14"/>
  <c r="P109" i="14"/>
  <c r="D53" i="15"/>
  <c r="D29" i="15" s="1"/>
  <c r="P103" i="15"/>
  <c r="P29" i="15"/>
  <c r="AJ29" i="15" s="1"/>
  <c r="AQ29" i="15" s="1"/>
  <c r="D61" i="15"/>
  <c r="P109" i="15"/>
  <c r="AD27" i="8"/>
  <c r="AM27" i="8" s="1"/>
  <c r="P104" i="8"/>
  <c r="AF110" i="9"/>
  <c r="D88" i="9"/>
  <c r="Y27" i="10"/>
  <c r="AL27" i="10" s="1"/>
  <c r="Y102" i="11"/>
  <c r="Y95" i="11"/>
  <c r="AC17" i="12"/>
  <c r="Y103" i="12"/>
  <c r="Y29" i="12"/>
  <c r="AL29" i="12" s="1"/>
  <c r="AS29" i="12" s="1"/>
  <c r="D58" i="12"/>
  <c r="P27" i="12"/>
  <c r="AJ27" i="12" s="1"/>
  <c r="K109" i="12"/>
  <c r="AD38" i="13"/>
  <c r="AM38" i="13" s="1"/>
  <c r="AT38" i="13" s="1"/>
  <c r="Y99" i="13"/>
  <c r="Y27" i="13"/>
  <c r="AL27" i="13" s="1"/>
  <c r="AS27" i="13" s="1"/>
  <c r="BF27" i="13" s="1"/>
  <c r="P27" i="13"/>
  <c r="AJ27" i="13" s="1"/>
  <c r="AD103" i="14"/>
  <c r="AD29" i="14"/>
  <c r="AM29" i="14" s="1"/>
  <c r="AT29" i="14" s="1"/>
  <c r="T76" i="14"/>
  <c r="T75" i="14"/>
  <c r="T48" i="14"/>
  <c r="T109" i="14" s="1"/>
  <c r="T40" i="14" s="1"/>
  <c r="K95" i="14"/>
  <c r="Y109" i="14"/>
  <c r="Y103" i="15"/>
  <c r="V103" i="15" s="1"/>
  <c r="Y29" i="15"/>
  <c r="AL29" i="15" s="1"/>
  <c r="AS29" i="15" s="1"/>
  <c r="CD29" i="15" s="1"/>
  <c r="D66" i="15"/>
  <c r="T75" i="15"/>
  <c r="T76" i="15"/>
  <c r="T48" i="15"/>
  <c r="T109" i="15" s="1"/>
  <c r="K95" i="15"/>
  <c r="D81" i="15"/>
  <c r="Y109" i="15"/>
  <c r="AD103" i="8"/>
  <c r="AD29" i="8"/>
  <c r="AM29" i="8" s="1"/>
  <c r="AT29" i="8" s="1"/>
  <c r="D60" i="8"/>
  <c r="AD102" i="8"/>
  <c r="Y104" i="8"/>
  <c r="D58" i="9"/>
  <c r="D81" i="9"/>
  <c r="P34" i="10"/>
  <c r="AJ34" i="10" s="1"/>
  <c r="AQ34" i="10" s="1"/>
  <c r="D52" i="10"/>
  <c r="D55" i="10"/>
  <c r="D59" i="10"/>
  <c r="AD95" i="10"/>
  <c r="AC95" i="10" s="1"/>
  <c r="P104" i="10"/>
  <c r="K34" i="11"/>
  <c r="AI34" i="11" s="1"/>
  <c r="D61" i="11"/>
  <c r="D86" i="11"/>
  <c r="K32" i="12"/>
  <c r="AI32" i="12" s="1"/>
  <c r="AD103" i="12"/>
  <c r="AD29" i="12"/>
  <c r="AM29" i="12" s="1"/>
  <c r="AT29" i="12" s="1"/>
  <c r="BS29" i="12" s="1"/>
  <c r="Y95" i="12"/>
  <c r="P109" i="12"/>
  <c r="AF110" i="13"/>
  <c r="AD27" i="13"/>
  <c r="AM27" i="13" s="1"/>
  <c r="AD99" i="13"/>
  <c r="AC99" i="13" s="1"/>
  <c r="AC112" i="13" s="1"/>
  <c r="AC113" i="13" s="1"/>
  <c r="AC114" i="13" s="1"/>
  <c r="AF66" i="13"/>
  <c r="AD76" i="13"/>
  <c r="AD75" i="13"/>
  <c r="AD48" i="13"/>
  <c r="AD109" i="13" s="1"/>
  <c r="Y95" i="13"/>
  <c r="P102" i="13"/>
  <c r="D88" i="13"/>
  <c r="V17" i="14"/>
  <c r="D46" i="14"/>
  <c r="Y36" i="14"/>
  <c r="AL36" i="14" s="1"/>
  <c r="AS36" i="14" s="1"/>
  <c r="K27" i="14"/>
  <c r="K99" i="14"/>
  <c r="P95" i="14"/>
  <c r="N95" i="14" s="1"/>
  <c r="D84" i="14"/>
  <c r="W108" i="14"/>
  <c r="Y36" i="15"/>
  <c r="AL36" i="15" s="1"/>
  <c r="AS36" i="15" s="1"/>
  <c r="AD103" i="15"/>
  <c r="D103" i="15" s="1"/>
  <c r="AD29" i="15"/>
  <c r="AM29" i="15" s="1"/>
  <c r="AT29" i="15" s="1"/>
  <c r="BG29" i="15" s="1"/>
  <c r="D56" i="15"/>
  <c r="D58" i="15"/>
  <c r="K27" i="15"/>
  <c r="AI27" i="15" s="1"/>
  <c r="AP27" i="15" s="1"/>
  <c r="P101" i="8"/>
  <c r="D81" i="8"/>
  <c r="AD104" i="8"/>
  <c r="D60" i="9"/>
  <c r="K109" i="9"/>
  <c r="D85" i="9"/>
  <c r="Y28" i="10"/>
  <c r="AL28" i="10" s="1"/>
  <c r="AS28" i="10" s="1"/>
  <c r="Y32" i="10"/>
  <c r="AL32" i="10" s="1"/>
  <c r="AS32" i="10" s="1"/>
  <c r="K36" i="10"/>
  <c r="AI36" i="10" s="1"/>
  <c r="D69" i="10"/>
  <c r="Y102" i="10"/>
  <c r="Y104" i="10"/>
  <c r="D53" i="11"/>
  <c r="P29" i="11"/>
  <c r="AJ29" i="11" s="1"/>
  <c r="AQ29" i="11" s="1"/>
  <c r="P103" i="11"/>
  <c r="Y36" i="12"/>
  <c r="AL36" i="12" s="1"/>
  <c r="AS36" i="12" s="1"/>
  <c r="D60" i="12"/>
  <c r="K27" i="12"/>
  <c r="AI27" i="12" s="1"/>
  <c r="AP27" i="12" s="1"/>
  <c r="K99" i="12"/>
  <c r="Y109" i="12"/>
  <c r="Y10" i="13"/>
  <c r="D63" i="13"/>
  <c r="D28" i="13" s="1"/>
  <c r="G107" i="13"/>
  <c r="H107" i="13"/>
  <c r="K101" i="13"/>
  <c r="P104" i="13"/>
  <c r="D62" i="14"/>
  <c r="Y99" i="14"/>
  <c r="V99" i="14" s="1"/>
  <c r="Y27" i="14"/>
  <c r="AL27" i="14" s="1"/>
  <c r="AF66" i="14"/>
  <c r="AD75" i="14"/>
  <c r="D75" i="14" s="1"/>
  <c r="AD76" i="14"/>
  <c r="AD48" i="14"/>
  <c r="Y95" i="14"/>
  <c r="AM36" i="15"/>
  <c r="AT36" i="15" s="1"/>
  <c r="BS36" i="15" s="1"/>
  <c r="AD36" i="15"/>
  <c r="AB109" i="15" s="1"/>
  <c r="AF66" i="15"/>
  <c r="AD76" i="15"/>
  <c r="AD75" i="15"/>
  <c r="AD48" i="15"/>
  <c r="Y95" i="15"/>
  <c r="D88" i="7"/>
  <c r="F107" i="8"/>
  <c r="G107" i="8"/>
  <c r="Y101" i="8"/>
  <c r="K109" i="8"/>
  <c r="D85" i="8"/>
  <c r="D92" i="8"/>
  <c r="AD103" i="9"/>
  <c r="AD29" i="9"/>
  <c r="AM29" i="9" s="1"/>
  <c r="AT29" i="9" s="1"/>
  <c r="BS29" i="9" s="1"/>
  <c r="P109" i="9"/>
  <c r="P101" i="10"/>
  <c r="AD102" i="10"/>
  <c r="D85" i="10"/>
  <c r="AD104" i="10"/>
  <c r="P36" i="11"/>
  <c r="AJ36" i="11" s="1"/>
  <c r="AQ36" i="11" s="1"/>
  <c r="Y103" i="11"/>
  <c r="Y29" i="11"/>
  <c r="AL29" i="11" s="1"/>
  <c r="AS29" i="11" s="1"/>
  <c r="D56" i="11"/>
  <c r="D58" i="11"/>
  <c r="P101" i="11"/>
  <c r="AD102" i="11"/>
  <c r="Y104" i="11"/>
  <c r="F17" i="12"/>
  <c r="K36" i="12"/>
  <c r="AI36" i="12" s="1"/>
  <c r="AP36" i="12" s="1"/>
  <c r="BO36" i="12" s="1"/>
  <c r="AD36" i="12"/>
  <c r="AD109" i="12"/>
  <c r="D64" i="12"/>
  <c r="Y27" i="12"/>
  <c r="AL27" i="12" s="1"/>
  <c r="Y99" i="12"/>
  <c r="K101" i="12"/>
  <c r="D82" i="12"/>
  <c r="D84" i="12"/>
  <c r="D86" i="12"/>
  <c r="D51" i="13"/>
  <c r="P103" i="13"/>
  <c r="P29" i="13"/>
  <c r="AJ29" i="13" s="1"/>
  <c r="AQ29" i="13" s="1"/>
  <c r="D61" i="13"/>
  <c r="P101" i="13"/>
  <c r="D69" i="13"/>
  <c r="AD102" i="13"/>
  <c r="D102" i="13" s="1"/>
  <c r="D85" i="13"/>
  <c r="Y104" i="13"/>
  <c r="X17" i="14"/>
  <c r="D52" i="14"/>
  <c r="D55" i="14"/>
  <c r="AC99" i="14"/>
  <c r="AD99" i="14"/>
  <c r="AD27" i="14"/>
  <c r="AM27" i="14" s="1"/>
  <c r="K101" i="14"/>
  <c r="D69" i="14"/>
  <c r="AD95" i="14"/>
  <c r="AC95" i="14" s="1"/>
  <c r="P102" i="14"/>
  <c r="P104" i="14"/>
  <c r="F17" i="15"/>
  <c r="D49" i="15"/>
  <c r="K36" i="15"/>
  <c r="AI36" i="15" s="1"/>
  <c r="AP36" i="15" s="1"/>
  <c r="BC36" i="15" s="1"/>
  <c r="K101" i="15"/>
  <c r="AD95" i="15"/>
  <c r="AC95" i="15" s="1"/>
  <c r="P102" i="15"/>
  <c r="D86" i="15"/>
  <c r="K38" i="15"/>
  <c r="AI38" i="15" s="1"/>
  <c r="D53" i="10"/>
  <c r="K3" i="10" s="1"/>
  <c r="K109" i="10"/>
  <c r="D87" i="10"/>
  <c r="D89" i="10"/>
  <c r="Y36" i="11"/>
  <c r="AL36" i="11" s="1"/>
  <c r="AS36" i="11" s="1"/>
  <c r="AD103" i="11"/>
  <c r="AD29" i="11"/>
  <c r="AM29" i="11" s="1"/>
  <c r="AT29" i="11" s="1"/>
  <c r="BS29" i="11" s="1"/>
  <c r="D60" i="11"/>
  <c r="D62" i="11"/>
  <c r="Y101" i="11"/>
  <c r="K109" i="11"/>
  <c r="D85" i="11"/>
  <c r="D87" i="11"/>
  <c r="AD104" i="11"/>
  <c r="D52" i="12"/>
  <c r="D55" i="12"/>
  <c r="D57" i="12"/>
  <c r="AD27" i="12"/>
  <c r="AM27" i="12" s="1"/>
  <c r="AD99" i="12"/>
  <c r="AC99" i="12" s="1"/>
  <c r="AC112" i="12" s="1"/>
  <c r="AC113" i="12" s="1"/>
  <c r="AC114" i="12" s="1"/>
  <c r="D88" i="12"/>
  <c r="D90" i="12"/>
  <c r="V103" i="13"/>
  <c r="Y103" i="13"/>
  <c r="Y29" i="13"/>
  <c r="AL29" i="13" s="1"/>
  <c r="AS29" i="13" s="1"/>
  <c r="CD29" i="13" s="1"/>
  <c r="Y101" i="13"/>
  <c r="K39" i="13"/>
  <c r="AI39" i="13" s="1"/>
  <c r="K111" i="13"/>
  <c r="D111" i="13" s="1"/>
  <c r="K109" i="13"/>
  <c r="D87" i="13"/>
  <c r="D89" i="13"/>
  <c r="AD104" i="13"/>
  <c r="D49" i="14"/>
  <c r="K36" i="14"/>
  <c r="AI36" i="14" s="1"/>
  <c r="D59" i="14"/>
  <c r="G107" i="14"/>
  <c r="H107" i="14"/>
  <c r="P101" i="14"/>
  <c r="Y104" i="14"/>
  <c r="W17" i="15"/>
  <c r="W23" i="15" s="1"/>
  <c r="W19" i="15" s="1"/>
  <c r="D47" i="15"/>
  <c r="D33" i="15" s="1"/>
  <c r="D21" i="15" s="1"/>
  <c r="D50" i="15"/>
  <c r="D34" i="15" s="1"/>
  <c r="G107" i="15"/>
  <c r="H107" i="15"/>
  <c r="P101" i="15"/>
  <c r="D69" i="15"/>
  <c r="Y29" i="8"/>
  <c r="AL29" i="8" s="1"/>
  <c r="AS29" i="8" s="1"/>
  <c r="Y104" i="7"/>
  <c r="Y36" i="8"/>
  <c r="AL36" i="8" s="1"/>
  <c r="AS36" i="8" s="1"/>
  <c r="D66" i="8"/>
  <c r="P95" i="8"/>
  <c r="M95" i="8" s="1"/>
  <c r="Y109" i="8"/>
  <c r="K36" i="9"/>
  <c r="AI36" i="9" s="1"/>
  <c r="Y36" i="9"/>
  <c r="AL36" i="9" s="1"/>
  <c r="AS36" i="9" s="1"/>
  <c r="CD36" i="9" s="1"/>
  <c r="D61" i="9"/>
  <c r="Y95" i="9"/>
  <c r="D86" i="9"/>
  <c r="D46" i="10"/>
  <c r="D58" i="10"/>
  <c r="AD101" i="10"/>
  <c r="P109" i="10"/>
  <c r="AD101" i="11"/>
  <c r="P109" i="11"/>
  <c r="D89" i="11"/>
  <c r="D92" i="11"/>
  <c r="D29" i="11" s="1"/>
  <c r="AD10" i="12"/>
  <c r="P32" i="12"/>
  <c r="AJ32" i="12" s="1"/>
  <c r="AQ32" i="12" s="1"/>
  <c r="D47" i="12"/>
  <c r="D59" i="12"/>
  <c r="D61" i="12"/>
  <c r="H107" i="12"/>
  <c r="G107" i="12"/>
  <c r="Y101" i="12"/>
  <c r="K39" i="12"/>
  <c r="K111" i="12"/>
  <c r="D111" i="12" s="1"/>
  <c r="Y102" i="12"/>
  <c r="P104" i="12"/>
  <c r="P28" i="13"/>
  <c r="AJ28" i="13" s="1"/>
  <c r="AQ28" i="13" s="1"/>
  <c r="Y36" i="13"/>
  <c r="AL36" i="13" s="1"/>
  <c r="AS36" i="13" s="1"/>
  <c r="BR36" i="13" s="1"/>
  <c r="AD103" i="13"/>
  <c r="AD29" i="13"/>
  <c r="AM29" i="13" s="1"/>
  <c r="AT29" i="13" s="1"/>
  <c r="D56" i="13"/>
  <c r="D58" i="13"/>
  <c r="AD101" i="13"/>
  <c r="P109" i="13"/>
  <c r="D92" i="13"/>
  <c r="D47" i="14"/>
  <c r="D33" i="14" s="1"/>
  <c r="D21" i="14" s="1"/>
  <c r="AF110" i="14"/>
  <c r="Y101" i="14"/>
  <c r="AD37" i="14"/>
  <c r="AM37" i="14" s="1"/>
  <c r="AT37" i="14" s="1"/>
  <c r="AD102" i="14"/>
  <c r="D85" i="14"/>
  <c r="AD104" i="14"/>
  <c r="AD10" i="15"/>
  <c r="Y101" i="15"/>
  <c r="AD102" i="15"/>
  <c r="D102" i="15" s="1"/>
  <c r="Y104" i="15"/>
  <c r="Y103" i="8"/>
  <c r="V103" i="8" s="1"/>
  <c r="Y27" i="15"/>
  <c r="AL27" i="15" s="1"/>
  <c r="AD36" i="11"/>
  <c r="AD109" i="11"/>
  <c r="D51" i="11"/>
  <c r="D90" i="11"/>
  <c r="K38" i="11"/>
  <c r="AI38" i="11" s="1"/>
  <c r="AN38" i="11" s="1"/>
  <c r="AD37" i="10"/>
  <c r="AM37" i="10" s="1"/>
  <c r="AT37" i="10" s="1"/>
  <c r="F17" i="11"/>
  <c r="K111" i="11"/>
  <c r="K39" i="11"/>
  <c r="AI39" i="11" s="1"/>
  <c r="D69" i="11"/>
  <c r="K102" i="11"/>
  <c r="K101" i="11"/>
  <c r="C21" i="11"/>
  <c r="D70" i="11"/>
  <c r="D33" i="11" s="1"/>
  <c r="D21" i="11" s="1"/>
  <c r="P33" i="11"/>
  <c r="AJ33" i="11" s="1"/>
  <c r="AQ33" i="11" s="1"/>
  <c r="AD95" i="11"/>
  <c r="AC95" i="11" s="1"/>
  <c r="K107" i="11"/>
  <c r="AD107" i="11"/>
  <c r="AC107" i="11" s="1"/>
  <c r="D64" i="11"/>
  <c r="K99" i="11"/>
  <c r="K27" i="11"/>
  <c r="AI27" i="11" s="1"/>
  <c r="Y27" i="11"/>
  <c r="AL27" i="11" s="1"/>
  <c r="Y99" i="11"/>
  <c r="AD27" i="11"/>
  <c r="AM27" i="11" s="1"/>
  <c r="AD99" i="11"/>
  <c r="AC99" i="11" s="1"/>
  <c r="AC112" i="11" s="1"/>
  <c r="AC113" i="11" s="1"/>
  <c r="AC114" i="11" s="1"/>
  <c r="F17" i="10"/>
  <c r="D51" i="10"/>
  <c r="AC17" i="15"/>
  <c r="X17" i="15"/>
  <c r="Y10" i="15"/>
  <c r="Y10" i="14"/>
  <c r="AA17" i="14"/>
  <c r="AA23" i="14" s="1"/>
  <c r="W17" i="14"/>
  <c r="AC17" i="14"/>
  <c r="V17" i="13"/>
  <c r="W17" i="13"/>
  <c r="W23" i="13" s="1"/>
  <c r="W19" i="13" s="1"/>
  <c r="AC19" i="13"/>
  <c r="AD19" i="13" s="1"/>
  <c r="AC23" i="13"/>
  <c r="AC23" i="12"/>
  <c r="AC19" i="12"/>
  <c r="AD19" i="12" s="1"/>
  <c r="X17" i="12"/>
  <c r="Y10" i="12"/>
  <c r="V17" i="12"/>
  <c r="AC17" i="11"/>
  <c r="AB23" i="11"/>
  <c r="AB25" i="11" s="1"/>
  <c r="AD25" i="11" s="1"/>
  <c r="X17" i="11"/>
  <c r="W17" i="10"/>
  <c r="AC17" i="10"/>
  <c r="X17" i="10"/>
  <c r="V17" i="10"/>
  <c r="AB17" i="10"/>
  <c r="M3" i="10"/>
  <c r="P29" i="10"/>
  <c r="AJ29" i="10" s="1"/>
  <c r="AQ29" i="10" s="1"/>
  <c r="P103" i="10"/>
  <c r="Y103" i="10"/>
  <c r="V103" i="10" s="1"/>
  <c r="Y29" i="10"/>
  <c r="AD27" i="10"/>
  <c r="AM27" i="10" s="1"/>
  <c r="AD99" i="10"/>
  <c r="AC99" i="10" s="1"/>
  <c r="AC112" i="10" s="1"/>
  <c r="AC113" i="10" s="1"/>
  <c r="AC114" i="10" s="1"/>
  <c r="K111" i="10"/>
  <c r="K39" i="10"/>
  <c r="AI39" i="10" s="1"/>
  <c r="G107" i="9"/>
  <c r="F107" i="9"/>
  <c r="H107" i="9"/>
  <c r="AD99" i="9"/>
  <c r="AC99" i="9" s="1"/>
  <c r="AC112" i="9" s="1"/>
  <c r="AC113" i="9" s="1"/>
  <c r="AC114" i="9" s="1"/>
  <c r="AD27" i="9"/>
  <c r="AM27" i="9" s="1"/>
  <c r="AT27" i="9" s="1"/>
  <c r="AC19" i="9"/>
  <c r="AD19" i="9" s="1"/>
  <c r="AC23" i="9"/>
  <c r="AD10" i="9"/>
  <c r="K99" i="10"/>
  <c r="H99" i="10" s="1"/>
  <c r="D68" i="10"/>
  <c r="K27" i="10"/>
  <c r="AI27" i="10" s="1"/>
  <c r="AD109" i="10"/>
  <c r="AD36" i="10"/>
  <c r="K107" i="10"/>
  <c r="K31" i="10"/>
  <c r="AI31" i="10" s="1"/>
  <c r="AD107" i="10"/>
  <c r="AC107" i="10" s="1"/>
  <c r="F17" i="9"/>
  <c r="H107" i="8"/>
  <c r="N107" i="9"/>
  <c r="P29" i="9"/>
  <c r="AJ29" i="9" s="1"/>
  <c r="AQ29" i="9" s="1"/>
  <c r="BD29" i="9" s="1"/>
  <c r="P103" i="9"/>
  <c r="D103" i="9" s="1"/>
  <c r="Y103" i="9"/>
  <c r="Y29" i="9"/>
  <c r="AL29" i="9" s="1"/>
  <c r="AS29" i="9" s="1"/>
  <c r="D68" i="9"/>
  <c r="K102" i="9"/>
  <c r="AD36" i="9"/>
  <c r="AB109" i="9" s="1"/>
  <c r="AD109" i="9"/>
  <c r="D36" i="8"/>
  <c r="AD36" i="8"/>
  <c r="AD109" i="8"/>
  <c r="D109" i="8" s="1"/>
  <c r="K111" i="9"/>
  <c r="K39" i="9"/>
  <c r="AI39" i="9" s="1"/>
  <c r="AP39" i="9" s="1"/>
  <c r="AD37" i="9"/>
  <c r="AM37" i="9" s="1"/>
  <c r="AT37" i="9" s="1"/>
  <c r="C23" i="9"/>
  <c r="K111" i="8"/>
  <c r="D111" i="8" s="1"/>
  <c r="K39" i="8"/>
  <c r="AI39" i="8" s="1"/>
  <c r="AP39" i="8" s="1"/>
  <c r="D68" i="8"/>
  <c r="K27" i="8"/>
  <c r="K99" i="8"/>
  <c r="H99" i="8" s="1"/>
  <c r="D56" i="8"/>
  <c r="D55" i="8"/>
  <c r="D46" i="8"/>
  <c r="C23" i="7"/>
  <c r="D33" i="7"/>
  <c r="D21" i="7" s="1"/>
  <c r="D56" i="7"/>
  <c r="D55" i="7"/>
  <c r="V99" i="7"/>
  <c r="X99" i="7"/>
  <c r="W99" i="7"/>
  <c r="K111" i="7"/>
  <c r="D111" i="7" s="1"/>
  <c r="K39" i="7"/>
  <c r="AI39" i="7" s="1"/>
  <c r="P10" i="7"/>
  <c r="D68" i="7"/>
  <c r="K32" i="7"/>
  <c r="AI32" i="7" s="1"/>
  <c r="AP32" i="7" s="1"/>
  <c r="K101" i="7"/>
  <c r="D63" i="7"/>
  <c r="D28" i="7" s="1"/>
  <c r="D64" i="7"/>
  <c r="Y103" i="7"/>
  <c r="V103" i="7" s="1"/>
  <c r="Y29" i="7"/>
  <c r="AL29" i="7" s="1"/>
  <c r="AS29" i="7" s="1"/>
  <c r="P103" i="7"/>
  <c r="P29" i="7"/>
  <c r="AJ29" i="7" s="1"/>
  <c r="AQ29" i="7" s="1"/>
  <c r="AI27" i="8"/>
  <c r="C19" i="8"/>
  <c r="K32" i="8"/>
  <c r="AI32" i="8" s="1"/>
  <c r="AP32" i="8" s="1"/>
  <c r="K101" i="8"/>
  <c r="V17" i="8"/>
  <c r="V23" i="8" s="1"/>
  <c r="AB17" i="8"/>
  <c r="AB23" i="8" s="1"/>
  <c r="AB25" i="8" s="1"/>
  <c r="AD25" i="8" s="1"/>
  <c r="AC19" i="8"/>
  <c r="AD19" i="8" s="1"/>
  <c r="AC23" i="8"/>
  <c r="X17" i="8"/>
  <c r="Y10" i="8"/>
  <c r="F17" i="8"/>
  <c r="F40" i="8" s="1"/>
  <c r="X17" i="7"/>
  <c r="V17" i="7"/>
  <c r="V23" i="7" s="1"/>
  <c r="V19" i="7" s="1"/>
  <c r="AC17" i="7"/>
  <c r="F19" i="7"/>
  <c r="W17" i="6"/>
  <c r="I17" i="6"/>
  <c r="O17" i="6"/>
  <c r="X17" i="6"/>
  <c r="F17" i="6"/>
  <c r="K111" i="6"/>
  <c r="K39" i="6"/>
  <c r="AI39" i="6" s="1"/>
  <c r="AM36" i="6"/>
  <c r="AT36" i="6" s="1"/>
  <c r="CE36" i="6" s="1"/>
  <c r="AB109" i="6"/>
  <c r="D68" i="6"/>
  <c r="K101" i="6"/>
  <c r="C22" i="6"/>
  <c r="P29" i="6"/>
  <c r="AJ29" i="6" s="1"/>
  <c r="AQ29" i="6" s="1"/>
  <c r="CB29" i="6" s="1"/>
  <c r="V103" i="6"/>
  <c r="Y29" i="6"/>
  <c r="D75" i="12"/>
  <c r="D75" i="11"/>
  <c r="D75" i="10"/>
  <c r="D75" i="7"/>
  <c r="T93" i="14"/>
  <c r="AK36" i="8"/>
  <c r="AR36" i="8" s="1"/>
  <c r="BQ36" i="8" s="1"/>
  <c r="S109" i="8"/>
  <c r="S40" i="8" s="1"/>
  <c r="AK36" i="7"/>
  <c r="AR36" i="7" s="1"/>
  <c r="S109" i="7"/>
  <c r="S40" i="7" s="1"/>
  <c r="AK36" i="6"/>
  <c r="AR36" i="6" s="1"/>
  <c r="CC36" i="6" s="1"/>
  <c r="S109" i="6"/>
  <c r="S40" i="6" s="1"/>
  <c r="AN34" i="11"/>
  <c r="AN28" i="11"/>
  <c r="P10" i="15"/>
  <c r="G17" i="15"/>
  <c r="K17" i="15" s="1"/>
  <c r="M17" i="15"/>
  <c r="I17" i="15"/>
  <c r="O17" i="15"/>
  <c r="J17" i="15"/>
  <c r="J23" i="15" s="1"/>
  <c r="H17" i="15"/>
  <c r="H19" i="15" s="1"/>
  <c r="N17" i="15"/>
  <c r="K10" i="15"/>
  <c r="K10" i="14"/>
  <c r="P10" i="14"/>
  <c r="J17" i="14"/>
  <c r="I17" i="14"/>
  <c r="O17" i="14"/>
  <c r="G17" i="14"/>
  <c r="H17" i="14"/>
  <c r="N17" i="14"/>
  <c r="N21" i="14" s="1"/>
  <c r="I17" i="13"/>
  <c r="O17" i="13"/>
  <c r="K10" i="13"/>
  <c r="P10" i="13"/>
  <c r="G17" i="13"/>
  <c r="N17" i="13"/>
  <c r="P10" i="12"/>
  <c r="J17" i="12"/>
  <c r="M17" i="12"/>
  <c r="H17" i="12"/>
  <c r="N17" i="12"/>
  <c r="G17" i="12"/>
  <c r="K10" i="12"/>
  <c r="O17" i="12"/>
  <c r="H17" i="11"/>
  <c r="H19" i="11" s="1"/>
  <c r="P10" i="11"/>
  <c r="O17" i="11"/>
  <c r="J17" i="11"/>
  <c r="K10" i="10"/>
  <c r="P10" i="10"/>
  <c r="I17" i="10"/>
  <c r="I22" i="10" s="1"/>
  <c r="K22" i="10" s="1"/>
  <c r="AF22" i="10" s="1"/>
  <c r="O17" i="10"/>
  <c r="O19" i="10" s="1"/>
  <c r="J17" i="10"/>
  <c r="G17" i="10"/>
  <c r="G19" i="10" s="1"/>
  <c r="N17" i="10"/>
  <c r="N21" i="10" s="1"/>
  <c r="K10" i="9"/>
  <c r="I17" i="9"/>
  <c r="O17" i="9"/>
  <c r="P10" i="9"/>
  <c r="J17" i="9"/>
  <c r="G17" i="9"/>
  <c r="G19" i="9" s="1"/>
  <c r="M17" i="9"/>
  <c r="M19" i="9" s="1"/>
  <c r="H17" i="9"/>
  <c r="N17" i="9"/>
  <c r="K10" i="8"/>
  <c r="P10" i="8"/>
  <c r="G17" i="8"/>
  <c r="N17" i="8"/>
  <c r="N21" i="8" s="1"/>
  <c r="I17" i="8"/>
  <c r="O17" i="8"/>
  <c r="O19" i="8" s="1"/>
  <c r="H17" i="8"/>
  <c r="J17" i="8"/>
  <c r="K10" i="7"/>
  <c r="I17" i="7"/>
  <c r="O17" i="7"/>
  <c r="G17" i="7"/>
  <c r="N17" i="6"/>
  <c r="K10" i="6"/>
  <c r="P10" i="6"/>
  <c r="AD95" i="6"/>
  <c r="AC95" i="6" s="1"/>
  <c r="P95" i="6"/>
  <c r="K99" i="6"/>
  <c r="Y99" i="6"/>
  <c r="AD99" i="6"/>
  <c r="K107" i="6"/>
  <c r="K108" i="6"/>
  <c r="P108" i="6"/>
  <c r="M108" i="6" s="1"/>
  <c r="D77" i="15"/>
  <c r="D39" i="15" s="1"/>
  <c r="K111" i="15"/>
  <c r="AI39" i="15"/>
  <c r="D77" i="14"/>
  <c r="D39" i="14" s="1"/>
  <c r="K39" i="14"/>
  <c r="D77" i="13"/>
  <c r="D39" i="13" s="1"/>
  <c r="D77" i="12"/>
  <c r="D39" i="12" s="1"/>
  <c r="AI39" i="12"/>
  <c r="AP39" i="12" s="1"/>
  <c r="D77" i="11"/>
  <c r="D39" i="11" s="1"/>
  <c r="D77" i="10"/>
  <c r="D39" i="10" s="1"/>
  <c r="D77" i="9"/>
  <c r="D39" i="9" s="1"/>
  <c r="D77" i="8"/>
  <c r="D39" i="8" s="1"/>
  <c r="D77" i="7"/>
  <c r="D39" i="7" s="1"/>
  <c r="D77" i="6"/>
  <c r="D39" i="6" s="1"/>
  <c r="AN38" i="15"/>
  <c r="AN32" i="15"/>
  <c r="CD30" i="11"/>
  <c r="BR30" i="11"/>
  <c r="CD34" i="11"/>
  <c r="BR34" i="11"/>
  <c r="CD35" i="8"/>
  <c r="BR35" i="8"/>
  <c r="AN30" i="7"/>
  <c r="AN34" i="7"/>
  <c r="AP34" i="7"/>
  <c r="BC34" i="7" s="1"/>
  <c r="T40" i="7"/>
  <c r="D66" i="6"/>
  <c r="AF66" i="6"/>
  <c r="AA17" i="13"/>
  <c r="AA23" i="13" s="1"/>
  <c r="AA24" i="13" s="1"/>
  <c r="AD24" i="13" s="1"/>
  <c r="T40" i="11"/>
  <c r="T40" i="10"/>
  <c r="T40" i="9"/>
  <c r="AF66" i="9"/>
  <c r="AF66" i="7"/>
  <c r="D66" i="7"/>
  <c r="AF8" i="14"/>
  <c r="M17" i="14"/>
  <c r="M17" i="13"/>
  <c r="M19" i="13" s="1"/>
  <c r="M17" i="11"/>
  <c r="H17" i="10"/>
  <c r="AF8" i="10"/>
  <c r="M17" i="10"/>
  <c r="M40" i="10" s="1"/>
  <c r="Y10" i="9"/>
  <c r="X17" i="9"/>
  <c r="X23" i="9" s="1"/>
  <c r="AC112" i="8"/>
  <c r="AC113" i="8" s="1"/>
  <c r="AC114" i="8" s="1"/>
  <c r="AF10" i="8"/>
  <c r="M17" i="8"/>
  <c r="F17" i="14"/>
  <c r="F19" i="14" s="1"/>
  <c r="AB17" i="12"/>
  <c r="W17" i="11"/>
  <c r="N17" i="11"/>
  <c r="AB17" i="9"/>
  <c r="W17" i="9"/>
  <c r="D51" i="15"/>
  <c r="AD35" i="15"/>
  <c r="C35" i="15"/>
  <c r="C24" i="15" s="1"/>
  <c r="P93" i="15"/>
  <c r="CE28" i="15"/>
  <c r="BS28" i="15"/>
  <c r="BG28" i="15"/>
  <c r="D64" i="15"/>
  <c r="AI39" i="14"/>
  <c r="AP39" i="14" s="1"/>
  <c r="D90" i="15"/>
  <c r="D57" i="15"/>
  <c r="C23" i="15"/>
  <c r="C23" i="14"/>
  <c r="K38" i="14"/>
  <c r="AI38" i="14" s="1"/>
  <c r="AP38" i="14" s="1"/>
  <c r="BO38" i="14" s="1"/>
  <c r="AP38" i="15"/>
  <c r="BC38" i="15" s="1"/>
  <c r="K104" i="14"/>
  <c r="AD96" i="15"/>
  <c r="AC96" i="15" s="1"/>
  <c r="AC40" i="15" s="1"/>
  <c r="AD96" i="14"/>
  <c r="D76" i="14"/>
  <c r="T35" i="14"/>
  <c r="D66" i="14"/>
  <c r="D53" i="14"/>
  <c r="D29" i="14" s="1"/>
  <c r="C40" i="14"/>
  <c r="C42" i="14" s="1"/>
  <c r="C19" i="14"/>
  <c r="AI27" i="14"/>
  <c r="AP27" i="14" s="1"/>
  <c r="BO27" i="14" s="1"/>
  <c r="AC112" i="14"/>
  <c r="AC113" i="14" s="1"/>
  <c r="AC114" i="14" s="1"/>
  <c r="D64" i="14"/>
  <c r="AD35" i="13"/>
  <c r="P93" i="13"/>
  <c r="D70" i="13"/>
  <c r="D33" i="13" s="1"/>
  <c r="D21" i="13" s="1"/>
  <c r="K30" i="13"/>
  <c r="AI30" i="13" s="1"/>
  <c r="D53" i="13"/>
  <c r="K31" i="13"/>
  <c r="AI31" i="13" s="1"/>
  <c r="AP31" i="13" s="1"/>
  <c r="AD28" i="13"/>
  <c r="AM28" i="13" s="1"/>
  <c r="AT28" i="13" s="1"/>
  <c r="D64" i="13"/>
  <c r="D57" i="13"/>
  <c r="D56" i="12"/>
  <c r="C23" i="13"/>
  <c r="K104" i="13"/>
  <c r="AN38" i="13"/>
  <c r="AP38" i="13"/>
  <c r="BC38" i="13" s="1"/>
  <c r="AD96" i="13"/>
  <c r="AD96" i="12"/>
  <c r="K38" i="12"/>
  <c r="AI38" i="12" s="1"/>
  <c r="AP38" i="12" s="1"/>
  <c r="D89" i="12"/>
  <c r="C35" i="12"/>
  <c r="C24" i="12" s="1"/>
  <c r="AD35" i="12"/>
  <c r="D70" i="12"/>
  <c r="D33" i="12" s="1"/>
  <c r="D21" i="12" s="1"/>
  <c r="P93" i="12"/>
  <c r="D67" i="12"/>
  <c r="D32" i="12" s="1"/>
  <c r="D22" i="12" s="1"/>
  <c r="C19" i="12"/>
  <c r="AD28" i="12"/>
  <c r="AM28" i="12" s="1"/>
  <c r="AT28" i="12" s="1"/>
  <c r="C23" i="11"/>
  <c r="D57" i="11"/>
  <c r="AP38" i="11"/>
  <c r="BC38" i="11" s="1"/>
  <c r="AD96" i="11"/>
  <c r="AD37" i="11"/>
  <c r="AM37" i="11" s="1"/>
  <c r="AT37" i="11" s="1"/>
  <c r="D49" i="11"/>
  <c r="D36" i="11" s="1"/>
  <c r="AD35" i="11"/>
  <c r="AD93" i="11"/>
  <c r="P93" i="11"/>
  <c r="D63" i="11"/>
  <c r="D28" i="11" s="1"/>
  <c r="C19" i="11"/>
  <c r="N19" i="15"/>
  <c r="N21" i="15"/>
  <c r="AP28" i="15"/>
  <c r="AN28" i="15"/>
  <c r="CB28" i="15"/>
  <c r="BP28" i="15"/>
  <c r="BD28" i="15"/>
  <c r="I22" i="15"/>
  <c r="K22" i="15" s="1"/>
  <c r="AF22" i="15" s="1"/>
  <c r="O19" i="15"/>
  <c r="X23" i="15"/>
  <c r="X19" i="15" s="1"/>
  <c r="BQ28" i="15"/>
  <c r="BE28" i="15"/>
  <c r="CC28" i="15"/>
  <c r="F19" i="15"/>
  <c r="J20" i="15"/>
  <c r="K20" i="15" s="1"/>
  <c r="AF20" i="15" s="1"/>
  <c r="BC27" i="15"/>
  <c r="BO27" i="15"/>
  <c r="CA27" i="15"/>
  <c r="AJ40" i="15"/>
  <c r="AQ40" i="15" s="1"/>
  <c r="AQ27" i="15"/>
  <c r="BQ30" i="15"/>
  <c r="CC30" i="15"/>
  <c r="BE30" i="15"/>
  <c r="BS30" i="15"/>
  <c r="BG30" i="15"/>
  <c r="CE30" i="15"/>
  <c r="P17" i="15"/>
  <c r="M21" i="15"/>
  <c r="M19" i="15"/>
  <c r="AR27" i="15"/>
  <c r="BP29" i="15"/>
  <c r="BD29" i="15"/>
  <c r="CB29" i="15"/>
  <c r="V17" i="15"/>
  <c r="AB17" i="15"/>
  <c r="C19" i="15"/>
  <c r="BR28" i="15"/>
  <c r="CE29" i="15"/>
  <c r="BS29" i="15"/>
  <c r="BR29" i="15"/>
  <c r="CC32" i="15"/>
  <c r="BQ32" i="15"/>
  <c r="BE32" i="15"/>
  <c r="CD32" i="15"/>
  <c r="BR32" i="15"/>
  <c r="BF32" i="15"/>
  <c r="CC33" i="15"/>
  <c r="BQ33" i="15"/>
  <c r="BE33" i="15"/>
  <c r="BG33" i="15"/>
  <c r="CE33" i="15"/>
  <c r="BS33" i="15"/>
  <c r="AP34" i="15"/>
  <c r="AN34" i="15"/>
  <c r="CB34" i="15"/>
  <c r="BP34" i="15"/>
  <c r="BD34" i="15"/>
  <c r="AF8" i="15"/>
  <c r="AS27" i="15"/>
  <c r="BF29" i="15"/>
  <c r="BQ34" i="15"/>
  <c r="BE34" i="15"/>
  <c r="CC34" i="15"/>
  <c r="BF34" i="15"/>
  <c r="CD34" i="15"/>
  <c r="BR34" i="15"/>
  <c r="CE34" i="15"/>
  <c r="BS34" i="15"/>
  <c r="BG34" i="15"/>
  <c r="AP35" i="15"/>
  <c r="BP35" i="15"/>
  <c r="BD35" i="15"/>
  <c r="CB35" i="15"/>
  <c r="CD35" i="15"/>
  <c r="BR35" i="15"/>
  <c r="BF35" i="15"/>
  <c r="BD37" i="15"/>
  <c r="BP37" i="15"/>
  <c r="CB37" i="15"/>
  <c r="AT27" i="15"/>
  <c r="AP29" i="15"/>
  <c r="AN29" i="15"/>
  <c r="CC29" i="15"/>
  <c r="AN30" i="15"/>
  <c r="CB30" i="15"/>
  <c r="BD30" i="15"/>
  <c r="AP30" i="15"/>
  <c r="AP31" i="15"/>
  <c r="AN31" i="15"/>
  <c r="BP31" i="15"/>
  <c r="BD31" i="15"/>
  <c r="CB31" i="15"/>
  <c r="BC33" i="15"/>
  <c r="AU33" i="15"/>
  <c r="CA33" i="15"/>
  <c r="BO33" i="15"/>
  <c r="BQ36" i="15"/>
  <c r="BE36" i="15"/>
  <c r="CC36" i="15"/>
  <c r="AA17" i="15"/>
  <c r="AA23" i="15" s="1"/>
  <c r="AA24" i="15" s="1"/>
  <c r="AD24" i="15" s="1"/>
  <c r="G19" i="15"/>
  <c r="AN27" i="15"/>
  <c r="CD28" i="15"/>
  <c r="BQ29" i="15"/>
  <c r="BF30" i="15"/>
  <c r="CD30" i="15"/>
  <c r="BR30" i="15"/>
  <c r="BE31" i="15"/>
  <c r="CC31" i="15"/>
  <c r="BQ31" i="15"/>
  <c r="CD31" i="15"/>
  <c r="BR31" i="15"/>
  <c r="BF31" i="15"/>
  <c r="CE31" i="15"/>
  <c r="BS31" i="15"/>
  <c r="BG31" i="15"/>
  <c r="BD32" i="15"/>
  <c r="CB32" i="15"/>
  <c r="BP32" i="15"/>
  <c r="BS32" i="15"/>
  <c r="BG32" i="15"/>
  <c r="CE32" i="15"/>
  <c r="CB33" i="15"/>
  <c r="BP33" i="15"/>
  <c r="BD33" i="15"/>
  <c r="BR33" i="15"/>
  <c r="BF33" i="15"/>
  <c r="CD33" i="15"/>
  <c r="AP32" i="15"/>
  <c r="AN33" i="15"/>
  <c r="CB38" i="15"/>
  <c r="BP38" i="15"/>
  <c r="BD38" i="15"/>
  <c r="BQ39" i="15"/>
  <c r="BE39" i="15"/>
  <c r="CC39" i="15"/>
  <c r="CE39" i="15"/>
  <c r="BS39" i="15"/>
  <c r="BG39" i="15"/>
  <c r="AF100" i="15"/>
  <c r="D100" i="15"/>
  <c r="I101" i="15"/>
  <c r="I40" i="15" s="1"/>
  <c r="D101" i="15"/>
  <c r="AF101" i="15"/>
  <c r="BD36" i="15"/>
  <c r="CB36" i="15"/>
  <c r="BP36" i="15"/>
  <c r="CC38" i="15"/>
  <c r="BQ38" i="15"/>
  <c r="BE38" i="15"/>
  <c r="BR38" i="15"/>
  <c r="BF38" i="15"/>
  <c r="CD38" i="15"/>
  <c r="BG38" i="15"/>
  <c r="CE38" i="15"/>
  <c r="BS38" i="15"/>
  <c r="AF110" i="15"/>
  <c r="X99" i="15"/>
  <c r="W99" i="15"/>
  <c r="V99" i="15"/>
  <c r="J102" i="15"/>
  <c r="CD36" i="15"/>
  <c r="BF36" i="15"/>
  <c r="BR36" i="15"/>
  <c r="CC37" i="15"/>
  <c r="BE37" i="15"/>
  <c r="BS37" i="15"/>
  <c r="BG37" i="15"/>
  <c r="CE37" i="15"/>
  <c r="X100" i="15"/>
  <c r="W100" i="15"/>
  <c r="V100" i="15"/>
  <c r="O99" i="15"/>
  <c r="N99" i="15"/>
  <c r="AP39" i="15"/>
  <c r="CB39" i="15"/>
  <c r="BP39" i="15"/>
  <c r="BD39" i="15"/>
  <c r="AF108" i="15"/>
  <c r="G108" i="15"/>
  <c r="D108" i="15"/>
  <c r="AC112" i="15"/>
  <c r="AC113" i="15" s="1"/>
  <c r="AC114" i="15" s="1"/>
  <c r="AF107" i="15"/>
  <c r="D107" i="15"/>
  <c r="BR39" i="15"/>
  <c r="D45" i="15"/>
  <c r="D67" i="15"/>
  <c r="D32" i="15" s="1"/>
  <c r="D22" i="15" s="1"/>
  <c r="D82" i="15"/>
  <c r="D83" i="15"/>
  <c r="P95" i="15"/>
  <c r="O95" i="15" s="1"/>
  <c r="H103" i="15"/>
  <c r="X108" i="15"/>
  <c r="CA38" i="15"/>
  <c r="CD39" i="15"/>
  <c r="C93" i="15"/>
  <c r="K104" i="15"/>
  <c r="D54" i="15"/>
  <c r="D30" i="15" s="1"/>
  <c r="D65" i="15"/>
  <c r="D31" i="15" s="1"/>
  <c r="P104" i="15"/>
  <c r="G19" i="14"/>
  <c r="M21" i="14"/>
  <c r="M19" i="14"/>
  <c r="V23" i="14"/>
  <c r="V19" i="14" s="1"/>
  <c r="Y17" i="14"/>
  <c r="K17" i="14"/>
  <c r="J23" i="14"/>
  <c r="J20" i="14"/>
  <c r="K20" i="14" s="1"/>
  <c r="AF20" i="14" s="1"/>
  <c r="W23" i="14"/>
  <c r="W19" i="14" s="1"/>
  <c r="I22" i="14"/>
  <c r="K22" i="14" s="1"/>
  <c r="AF22" i="14" s="1"/>
  <c r="O19" i="14"/>
  <c r="X23" i="14"/>
  <c r="X19" i="14" s="1"/>
  <c r="AB10" i="14"/>
  <c r="AD10" i="14" s="1"/>
  <c r="AF10" i="14" s="1"/>
  <c r="AJ40" i="14"/>
  <c r="AQ40" i="14" s="1"/>
  <c r="AQ27" i="14"/>
  <c r="AP29" i="14"/>
  <c r="AN29" i="14"/>
  <c r="CB29" i="14"/>
  <c r="BP29" i="14"/>
  <c r="BD29" i="14"/>
  <c r="CD30" i="14"/>
  <c r="BR30" i="14"/>
  <c r="BF30" i="14"/>
  <c r="BD31" i="14"/>
  <c r="CB31" i="14"/>
  <c r="BP31" i="14"/>
  <c r="CD34" i="14"/>
  <c r="BR34" i="14"/>
  <c r="BF34" i="14"/>
  <c r="BD35" i="14"/>
  <c r="CB35" i="14"/>
  <c r="BP35" i="14"/>
  <c r="AR27" i="14"/>
  <c r="AS27" i="14"/>
  <c r="AT27" i="14"/>
  <c r="BQ29" i="14"/>
  <c r="BE29" i="14"/>
  <c r="CC29" i="14"/>
  <c r="BF29" i="14"/>
  <c r="CD29" i="14"/>
  <c r="BR29" i="14"/>
  <c r="CE29" i="14"/>
  <c r="BS29" i="14"/>
  <c r="BG29" i="14"/>
  <c r="AP30" i="14"/>
  <c r="AN30" i="14"/>
  <c r="BP30" i="14"/>
  <c r="BD30" i="14"/>
  <c r="CB30" i="14"/>
  <c r="CE30" i="14"/>
  <c r="BS30" i="14"/>
  <c r="BG30" i="14"/>
  <c r="CC31" i="14"/>
  <c r="BQ31" i="14"/>
  <c r="BE31" i="14"/>
  <c r="CD31" i="14"/>
  <c r="BR31" i="14"/>
  <c r="BF31" i="14"/>
  <c r="BS31" i="14"/>
  <c r="BG31" i="14"/>
  <c r="CE31" i="14"/>
  <c r="AU33" i="14"/>
  <c r="CA33" i="14"/>
  <c r="BO33" i="14"/>
  <c r="BC33" i="14"/>
  <c r="AP34" i="14"/>
  <c r="AN34" i="14"/>
  <c r="BP34" i="14"/>
  <c r="BD34" i="14"/>
  <c r="CB34" i="14"/>
  <c r="CE34" i="14"/>
  <c r="BS34" i="14"/>
  <c r="BG34" i="14"/>
  <c r="CD35" i="14"/>
  <c r="BR35" i="14"/>
  <c r="BF35" i="14"/>
  <c r="AP28" i="14"/>
  <c r="AN28" i="14"/>
  <c r="CB28" i="14"/>
  <c r="BP28" i="14"/>
  <c r="BD28" i="14"/>
  <c r="BE30" i="14"/>
  <c r="CC30" i="14"/>
  <c r="BQ30" i="14"/>
  <c r="AP32" i="14"/>
  <c r="CB32" i="14"/>
  <c r="BP32" i="14"/>
  <c r="BD32" i="14"/>
  <c r="CB33" i="14"/>
  <c r="BP33" i="14"/>
  <c r="BD33" i="14"/>
  <c r="CE33" i="14"/>
  <c r="BS33" i="14"/>
  <c r="BG33" i="14"/>
  <c r="BE34" i="14"/>
  <c r="CC34" i="14"/>
  <c r="BQ34" i="14"/>
  <c r="AP36" i="14"/>
  <c r="AN36" i="14"/>
  <c r="CB36" i="14"/>
  <c r="BD36" i="14"/>
  <c r="BP36" i="14"/>
  <c r="H19" i="14"/>
  <c r="CA27" i="14"/>
  <c r="CC28" i="14"/>
  <c r="BQ28" i="14"/>
  <c r="BE28" i="14"/>
  <c r="BR28" i="14"/>
  <c r="BF28" i="14"/>
  <c r="CD28" i="14"/>
  <c r="BG28" i="14"/>
  <c r="CE28" i="14"/>
  <c r="BS28" i="14"/>
  <c r="AN31" i="14"/>
  <c r="CC32" i="14"/>
  <c r="BQ32" i="14"/>
  <c r="BE32" i="14"/>
  <c r="BS32" i="14"/>
  <c r="BQ33" i="14"/>
  <c r="BE33" i="14"/>
  <c r="CC33" i="14"/>
  <c r="BF33" i="14"/>
  <c r="CD33" i="14"/>
  <c r="BR33" i="14"/>
  <c r="CC36" i="14"/>
  <c r="BQ36" i="14"/>
  <c r="BE36" i="14"/>
  <c r="BG36" i="14"/>
  <c r="BS36" i="14"/>
  <c r="CE36" i="14"/>
  <c r="AP31" i="14"/>
  <c r="CD32" i="14"/>
  <c r="CA35" i="14"/>
  <c r="BR36" i="14"/>
  <c r="BF36" i="14"/>
  <c r="CD36" i="14"/>
  <c r="BD37" i="14"/>
  <c r="CB37" i="14"/>
  <c r="BP37" i="14"/>
  <c r="BQ39" i="14"/>
  <c r="BE39" i="14"/>
  <c r="CC39" i="14"/>
  <c r="BF39" i="14"/>
  <c r="CD39" i="14"/>
  <c r="BR39" i="14"/>
  <c r="CE39" i="14"/>
  <c r="BS39" i="14"/>
  <c r="BG39" i="14"/>
  <c r="AF107" i="14"/>
  <c r="D107" i="14"/>
  <c r="O99" i="14"/>
  <c r="N99" i="14"/>
  <c r="AN33" i="14"/>
  <c r="CC37" i="14"/>
  <c r="BQ37" i="14"/>
  <c r="BE37" i="14"/>
  <c r="AU38" i="14"/>
  <c r="AF108" i="14"/>
  <c r="G108" i="14"/>
  <c r="D108" i="14"/>
  <c r="AF100" i="14"/>
  <c r="D100" i="14"/>
  <c r="BF32" i="14"/>
  <c r="BC35" i="14"/>
  <c r="CB38" i="14"/>
  <c r="BP38" i="14"/>
  <c r="BD38" i="14"/>
  <c r="BR38" i="14"/>
  <c r="BF38" i="14"/>
  <c r="CD38" i="14"/>
  <c r="W99" i="14"/>
  <c r="D104" i="14"/>
  <c r="AF104" i="14"/>
  <c r="J104" i="14"/>
  <c r="BS37" i="14"/>
  <c r="BG37" i="14"/>
  <c r="CE37" i="14"/>
  <c r="CC38" i="14"/>
  <c r="BQ38" i="14"/>
  <c r="BE38" i="14"/>
  <c r="BG38" i="14"/>
  <c r="CE38" i="14"/>
  <c r="BS38" i="14"/>
  <c r="AN39" i="14"/>
  <c r="CB39" i="14"/>
  <c r="BP39" i="14"/>
  <c r="BD39" i="14"/>
  <c r="D38" i="14"/>
  <c r="X100" i="14"/>
  <c r="W100" i="14"/>
  <c r="V100" i="14"/>
  <c r="I101" i="14"/>
  <c r="I40" i="14" s="1"/>
  <c r="D101" i="14"/>
  <c r="AF101" i="14"/>
  <c r="AC96" i="14"/>
  <c r="AC40" i="14" s="1"/>
  <c r="AB96" i="14"/>
  <c r="AA96" i="14"/>
  <c r="AN38" i="14"/>
  <c r="D45" i="14"/>
  <c r="D67" i="14"/>
  <c r="D32" i="14" s="1"/>
  <c r="D22" i="14" s="1"/>
  <c r="D82" i="14"/>
  <c r="D83" i="14"/>
  <c r="K102" i="14"/>
  <c r="H103" i="14"/>
  <c r="AF103" i="14"/>
  <c r="N107" i="14"/>
  <c r="AD35" i="14"/>
  <c r="D50" i="14"/>
  <c r="D34" i="14" s="1"/>
  <c r="D63" i="14"/>
  <c r="D28" i="14" s="1"/>
  <c r="C93" i="14"/>
  <c r="D54" i="14"/>
  <c r="D30" i="14" s="1"/>
  <c r="D65" i="14"/>
  <c r="D31" i="14" s="1"/>
  <c r="I22" i="13"/>
  <c r="K22" i="13" s="1"/>
  <c r="X23" i="13"/>
  <c r="X19" i="13" s="1"/>
  <c r="G19" i="13"/>
  <c r="Y17" i="13"/>
  <c r="V23" i="13"/>
  <c r="N21" i="13"/>
  <c r="N19" i="13"/>
  <c r="BE28" i="13"/>
  <c r="CC28" i="13"/>
  <c r="BQ28" i="13"/>
  <c r="AF8" i="13"/>
  <c r="AD10" i="13"/>
  <c r="AF10" i="13" s="1"/>
  <c r="H17" i="13"/>
  <c r="BP28" i="13"/>
  <c r="BD28" i="13"/>
  <c r="CB28" i="13"/>
  <c r="CE28" i="13"/>
  <c r="BS28" i="13"/>
  <c r="BG28" i="13"/>
  <c r="CB30" i="13"/>
  <c r="BP30" i="13"/>
  <c r="BD30" i="13"/>
  <c r="BQ31" i="13"/>
  <c r="BE31" i="13"/>
  <c r="CC31" i="13"/>
  <c r="CE31" i="13"/>
  <c r="BS31" i="13"/>
  <c r="BG31" i="13"/>
  <c r="O19" i="13"/>
  <c r="AJ40" i="13"/>
  <c r="AQ40" i="13" s="1"/>
  <c r="AQ27" i="13"/>
  <c r="CD28" i="13"/>
  <c r="BR28" i="13"/>
  <c r="BF28" i="13"/>
  <c r="CC30" i="13"/>
  <c r="BQ30" i="13"/>
  <c r="BE30" i="13"/>
  <c r="BR30" i="13"/>
  <c r="BF30" i="13"/>
  <c r="CD30" i="13"/>
  <c r="BG30" i="13"/>
  <c r="CE30" i="13"/>
  <c r="BS30" i="13"/>
  <c r="CA32" i="13"/>
  <c r="BO32" i="13"/>
  <c r="BC32" i="13"/>
  <c r="AU32" i="13"/>
  <c r="CD33" i="13"/>
  <c r="BR33" i="13"/>
  <c r="BF33" i="13"/>
  <c r="AN34" i="13"/>
  <c r="AP35" i="13"/>
  <c r="CB35" i="13"/>
  <c r="BP35" i="13"/>
  <c r="BD35" i="13"/>
  <c r="BE36" i="13"/>
  <c r="BQ36" i="13"/>
  <c r="CC36" i="13"/>
  <c r="F17" i="13"/>
  <c r="J17" i="13"/>
  <c r="AP27" i="13"/>
  <c r="AP29" i="13"/>
  <c r="BD29" i="13"/>
  <c r="CB29" i="13"/>
  <c r="BP29" i="13"/>
  <c r="BP32" i="13"/>
  <c r="BD32" i="13"/>
  <c r="CB32" i="13"/>
  <c r="CE32" i="13"/>
  <c r="BS32" i="13"/>
  <c r="BG32" i="13"/>
  <c r="AN33" i="13"/>
  <c r="AP33" i="13"/>
  <c r="BD33" i="13"/>
  <c r="CB33" i="13"/>
  <c r="BP33" i="13"/>
  <c r="BS33" i="13"/>
  <c r="BG33" i="13"/>
  <c r="CE33" i="13"/>
  <c r="CB34" i="13"/>
  <c r="BP34" i="13"/>
  <c r="BD34" i="13"/>
  <c r="AB17" i="13"/>
  <c r="M21" i="13"/>
  <c r="AF22" i="13"/>
  <c r="AR27" i="13"/>
  <c r="AT27" i="13"/>
  <c r="AP28" i="13"/>
  <c r="AN28" i="13"/>
  <c r="CC29" i="13"/>
  <c r="BQ29" i="13"/>
  <c r="BE29" i="13"/>
  <c r="BS29" i="13"/>
  <c r="BG29" i="13"/>
  <c r="CE29" i="13"/>
  <c r="CB31" i="13"/>
  <c r="BP31" i="13"/>
  <c r="BD31" i="13"/>
  <c r="BE32" i="13"/>
  <c r="CC32" i="13"/>
  <c r="BQ32" i="13"/>
  <c r="CD32" i="13"/>
  <c r="BR32" i="13"/>
  <c r="BF32" i="13"/>
  <c r="CC33" i="13"/>
  <c r="BQ33" i="13"/>
  <c r="BE33" i="13"/>
  <c r="CC34" i="13"/>
  <c r="BQ34" i="13"/>
  <c r="BE34" i="13"/>
  <c r="BR34" i="13"/>
  <c r="BF34" i="13"/>
  <c r="CD34" i="13"/>
  <c r="BG34" i="13"/>
  <c r="CE34" i="13"/>
  <c r="BS34" i="13"/>
  <c r="BR31" i="13"/>
  <c r="BO34" i="13"/>
  <c r="BR35" i="13"/>
  <c r="CD35" i="13"/>
  <c r="CD36" i="13"/>
  <c r="BF36" i="13"/>
  <c r="BD37" i="13"/>
  <c r="CB37" i="13"/>
  <c r="BP37" i="13"/>
  <c r="D38" i="13"/>
  <c r="X100" i="13"/>
  <c r="W100" i="13"/>
  <c r="V100" i="13"/>
  <c r="O99" i="13"/>
  <c r="N99" i="13"/>
  <c r="CD31" i="13"/>
  <c r="CA34" i="13"/>
  <c r="CC37" i="13"/>
  <c r="BQ37" i="13"/>
  <c r="BE37" i="13"/>
  <c r="BS37" i="13"/>
  <c r="BG37" i="13"/>
  <c r="CE37" i="13"/>
  <c r="CB39" i="13"/>
  <c r="BP39" i="13"/>
  <c r="BD39" i="13"/>
  <c r="AF108" i="13"/>
  <c r="G108" i="13"/>
  <c r="D108" i="13"/>
  <c r="AF107" i="13"/>
  <c r="D107" i="13"/>
  <c r="J104" i="13"/>
  <c r="C40" i="13"/>
  <c r="C42" i="13" s="1"/>
  <c r="AN32" i="13"/>
  <c r="AU34" i="13"/>
  <c r="AP36" i="13"/>
  <c r="CB38" i="13"/>
  <c r="BP38" i="13"/>
  <c r="BD38" i="13"/>
  <c r="BQ39" i="13"/>
  <c r="BE39" i="13"/>
  <c r="CC39" i="13"/>
  <c r="CE39" i="13"/>
  <c r="BS39" i="13"/>
  <c r="BG39" i="13"/>
  <c r="AF100" i="13"/>
  <c r="D100" i="13"/>
  <c r="I101" i="13"/>
  <c r="I40" i="13" s="1"/>
  <c r="D101" i="13"/>
  <c r="AF101" i="13"/>
  <c r="BP36" i="13"/>
  <c r="BD36" i="13"/>
  <c r="CB36" i="13"/>
  <c r="CC38" i="13"/>
  <c r="BQ38" i="13"/>
  <c r="BE38" i="13"/>
  <c r="BR38" i="13"/>
  <c r="BF38" i="13"/>
  <c r="CD38" i="13"/>
  <c r="BG38" i="13"/>
  <c r="CE38" i="13"/>
  <c r="BS38" i="13"/>
  <c r="X99" i="13"/>
  <c r="W99" i="13"/>
  <c r="V99" i="13"/>
  <c r="J102" i="13"/>
  <c r="AC96" i="13"/>
  <c r="AB96" i="13"/>
  <c r="AA96" i="13"/>
  <c r="BO38" i="13"/>
  <c r="BR39" i="13"/>
  <c r="D45" i="13"/>
  <c r="D67" i="13"/>
  <c r="D32" i="13" s="1"/>
  <c r="D22" i="13" s="1"/>
  <c r="D82" i="13"/>
  <c r="D83" i="13"/>
  <c r="P95" i="13"/>
  <c r="O95" i="13" s="1"/>
  <c r="H103" i="13"/>
  <c r="X108" i="13"/>
  <c r="CA38" i="13"/>
  <c r="CD39" i="13"/>
  <c r="C93" i="13"/>
  <c r="AU38" i="13"/>
  <c r="D54" i="13"/>
  <c r="D30" i="13" s="1"/>
  <c r="D65" i="13"/>
  <c r="D31" i="13" s="1"/>
  <c r="O19" i="12"/>
  <c r="F19" i="12"/>
  <c r="CB28" i="12"/>
  <c r="BP28" i="12"/>
  <c r="BD28" i="12"/>
  <c r="AF10" i="12"/>
  <c r="M21" i="12"/>
  <c r="M19" i="12"/>
  <c r="P17" i="12"/>
  <c r="P40" i="12" s="1"/>
  <c r="Y17" i="12"/>
  <c r="H19" i="12"/>
  <c r="N19" i="12"/>
  <c r="N21" i="12"/>
  <c r="W23" i="12"/>
  <c r="W19" i="12" s="1"/>
  <c r="AR27" i="12"/>
  <c r="AT27" i="12"/>
  <c r="BQ28" i="12"/>
  <c r="BE28" i="12"/>
  <c r="CC28" i="12"/>
  <c r="CE28" i="12"/>
  <c r="BG28" i="12"/>
  <c r="AN28" i="12"/>
  <c r="BS28" i="12"/>
  <c r="BP29" i="12"/>
  <c r="BD29" i="12"/>
  <c r="CB29" i="12"/>
  <c r="CE29" i="12"/>
  <c r="AN30" i="12"/>
  <c r="AP30" i="12"/>
  <c r="BD30" i="12"/>
  <c r="CB30" i="12"/>
  <c r="BP30" i="12"/>
  <c r="CD34" i="12"/>
  <c r="BR34" i="12"/>
  <c r="BF34" i="12"/>
  <c r="AF8" i="12"/>
  <c r="I22" i="12"/>
  <c r="K22" i="12" s="1"/>
  <c r="AF22" i="12" s="1"/>
  <c r="AN27" i="12"/>
  <c r="BF28" i="12"/>
  <c r="BR28" i="12"/>
  <c r="CD28" i="12"/>
  <c r="BE29" i="12"/>
  <c r="CC29" i="12"/>
  <c r="BQ29" i="12"/>
  <c r="CD29" i="12"/>
  <c r="BR29" i="12"/>
  <c r="BF29" i="12"/>
  <c r="CC30" i="12"/>
  <c r="BQ30" i="12"/>
  <c r="BE30" i="12"/>
  <c r="BS30" i="12"/>
  <c r="BG30" i="12"/>
  <c r="CE30" i="12"/>
  <c r="AN31" i="12"/>
  <c r="CA33" i="12"/>
  <c r="BO33" i="12"/>
  <c r="BC33" i="12"/>
  <c r="AU33" i="12"/>
  <c r="AN34" i="12"/>
  <c r="AP34" i="12"/>
  <c r="BD34" i="12"/>
  <c r="CB34" i="12"/>
  <c r="BP34" i="12"/>
  <c r="BR36" i="12"/>
  <c r="BF36" i="12"/>
  <c r="CD36" i="12"/>
  <c r="V23" i="12"/>
  <c r="AJ40" i="12"/>
  <c r="AQ40" i="12" s="1"/>
  <c r="AQ27" i="12"/>
  <c r="CB31" i="12"/>
  <c r="BP31" i="12"/>
  <c r="BD31" i="12"/>
  <c r="AP32" i="12"/>
  <c r="AN32" i="12"/>
  <c r="CB32" i="12"/>
  <c r="BP32" i="12"/>
  <c r="BD32" i="12"/>
  <c r="BP33" i="12"/>
  <c r="BD33" i="12"/>
  <c r="CB33" i="12"/>
  <c r="CE33" i="12"/>
  <c r="BS33" i="12"/>
  <c r="BG33" i="12"/>
  <c r="CC34" i="12"/>
  <c r="BQ34" i="12"/>
  <c r="BE34" i="12"/>
  <c r="BS34" i="12"/>
  <c r="BG34" i="12"/>
  <c r="CE34" i="12"/>
  <c r="BP36" i="12"/>
  <c r="CB36" i="12"/>
  <c r="BD36" i="12"/>
  <c r="BS37" i="12"/>
  <c r="BG37" i="12"/>
  <c r="CE37" i="12"/>
  <c r="AA17" i="12"/>
  <c r="AA23" i="12" s="1"/>
  <c r="AA24" i="12" s="1"/>
  <c r="AD24" i="12" s="1"/>
  <c r="AF24" i="12" s="1"/>
  <c r="G19" i="12"/>
  <c r="X23" i="12"/>
  <c r="X19" i="12" s="1"/>
  <c r="AS27" i="12"/>
  <c r="BC27" i="12"/>
  <c r="BO27" i="12"/>
  <c r="CA27" i="12"/>
  <c r="AU28" i="12"/>
  <c r="CA28" i="12"/>
  <c r="BC28" i="12"/>
  <c r="BO28" i="12"/>
  <c r="CA29" i="12"/>
  <c r="BO29" i="12"/>
  <c r="BC29" i="12"/>
  <c r="CD30" i="12"/>
  <c r="BR30" i="12"/>
  <c r="BF30" i="12"/>
  <c r="CC31" i="12"/>
  <c r="BQ31" i="12"/>
  <c r="BE31" i="12"/>
  <c r="BR31" i="12"/>
  <c r="BF31" i="12"/>
  <c r="CD31" i="12"/>
  <c r="BG31" i="12"/>
  <c r="CE31" i="12"/>
  <c r="BS31" i="12"/>
  <c r="BQ32" i="12"/>
  <c r="BE32" i="12"/>
  <c r="CC32" i="12"/>
  <c r="CE32" i="12"/>
  <c r="BS32" i="12"/>
  <c r="BG32" i="12"/>
  <c r="BE33" i="12"/>
  <c r="CC33" i="12"/>
  <c r="BQ33" i="12"/>
  <c r="CD33" i="12"/>
  <c r="BR33" i="12"/>
  <c r="BF33" i="12"/>
  <c r="CB35" i="12"/>
  <c r="BP35" i="12"/>
  <c r="BD35" i="12"/>
  <c r="BR35" i="12"/>
  <c r="BF35" i="12"/>
  <c r="CD35" i="12"/>
  <c r="BO31" i="12"/>
  <c r="BR32" i="12"/>
  <c r="BO35" i="12"/>
  <c r="AU39" i="12"/>
  <c r="CA39" i="12"/>
  <c r="BO39" i="12"/>
  <c r="BC39" i="12"/>
  <c r="G108" i="12"/>
  <c r="AF99" i="12"/>
  <c r="G99" i="12"/>
  <c r="D99" i="12"/>
  <c r="O99" i="12"/>
  <c r="N99" i="12"/>
  <c r="CA31" i="12"/>
  <c r="CD32" i="12"/>
  <c r="CA35" i="12"/>
  <c r="BC36" i="12"/>
  <c r="CB38" i="12"/>
  <c r="BP38" i="12"/>
  <c r="BD38" i="12"/>
  <c r="CB39" i="12"/>
  <c r="BP39" i="12"/>
  <c r="BD39" i="12"/>
  <c r="CE39" i="12"/>
  <c r="BS39" i="12"/>
  <c r="BG39" i="12"/>
  <c r="O103" i="12"/>
  <c r="N103" i="12"/>
  <c r="AU31" i="12"/>
  <c r="AN33" i="12"/>
  <c r="BE36" i="12"/>
  <c r="CC36" i="12"/>
  <c r="CC38" i="12"/>
  <c r="BQ38" i="12"/>
  <c r="BE38" i="12"/>
  <c r="BG38" i="12"/>
  <c r="CE38" i="12"/>
  <c r="BS38" i="12"/>
  <c r="BQ39" i="12"/>
  <c r="BE39" i="12"/>
  <c r="CC39" i="12"/>
  <c r="BF39" i="12"/>
  <c r="CD39" i="12"/>
  <c r="BR39" i="12"/>
  <c r="AD93" i="12"/>
  <c r="AF110" i="12"/>
  <c r="X100" i="12"/>
  <c r="W100" i="12"/>
  <c r="V100" i="12"/>
  <c r="BD37" i="12"/>
  <c r="CB37" i="12"/>
  <c r="BP37" i="12"/>
  <c r="CC37" i="12"/>
  <c r="BQ37" i="12"/>
  <c r="BE37" i="12"/>
  <c r="D48" i="12"/>
  <c r="AF107" i="12"/>
  <c r="H40" i="12"/>
  <c r="D107" i="12"/>
  <c r="I101" i="12"/>
  <c r="I40" i="12" s="1"/>
  <c r="D101" i="12"/>
  <c r="AF101" i="12"/>
  <c r="AC96" i="12"/>
  <c r="AB96" i="12"/>
  <c r="AA96" i="12"/>
  <c r="CD38" i="12"/>
  <c r="K102" i="12"/>
  <c r="AN39" i="12"/>
  <c r="D50" i="12"/>
  <c r="D34" i="12" s="1"/>
  <c r="D63" i="12"/>
  <c r="D28" i="12" s="1"/>
  <c r="T35" i="12"/>
  <c r="C93" i="12"/>
  <c r="K104" i="12"/>
  <c r="P108" i="12"/>
  <c r="N108" i="12" s="1"/>
  <c r="BF38" i="12"/>
  <c r="D53" i="12"/>
  <c r="D29" i="12" s="1"/>
  <c r="D65" i="12"/>
  <c r="D31" i="12" s="1"/>
  <c r="D69" i="12"/>
  <c r="K95" i="12"/>
  <c r="D70" i="10"/>
  <c r="D33" i="10" s="1"/>
  <c r="D21" i="10" s="1"/>
  <c r="P33" i="10"/>
  <c r="AJ33" i="10" s="1"/>
  <c r="AQ33" i="10" s="1"/>
  <c r="BP33" i="10" s="1"/>
  <c r="K38" i="10"/>
  <c r="AI38" i="10" s="1"/>
  <c r="AP38" i="10" s="1"/>
  <c r="BO38" i="10" s="1"/>
  <c r="D57" i="10"/>
  <c r="D56" i="10"/>
  <c r="K104" i="10"/>
  <c r="J104" i="10" s="1"/>
  <c r="AD96" i="10"/>
  <c r="AB96" i="10" s="1"/>
  <c r="T35" i="10"/>
  <c r="D76" i="10"/>
  <c r="C35" i="10"/>
  <c r="C24" i="10" s="1"/>
  <c r="D66" i="10"/>
  <c r="P30" i="10"/>
  <c r="AJ30" i="10" s="1"/>
  <c r="AQ30" i="10" s="1"/>
  <c r="BD30" i="10" s="1"/>
  <c r="P93" i="10"/>
  <c r="D54" i="10"/>
  <c r="D30" i="10" s="1"/>
  <c r="AL29" i="10"/>
  <c r="AS29" i="10" s="1"/>
  <c r="BR29" i="10" s="1"/>
  <c r="K101" i="10"/>
  <c r="I101" i="10" s="1"/>
  <c r="I40" i="10" s="1"/>
  <c r="K32" i="10"/>
  <c r="AI32" i="10" s="1"/>
  <c r="AP32" i="10" s="1"/>
  <c r="AD28" i="10"/>
  <c r="AM28" i="10" s="1"/>
  <c r="AT28" i="10" s="1"/>
  <c r="BG28" i="10" s="1"/>
  <c r="D64" i="10"/>
  <c r="D89" i="9"/>
  <c r="D56" i="9"/>
  <c r="AM36" i="9"/>
  <c r="AT36" i="9" s="1"/>
  <c r="BS36" i="9" s="1"/>
  <c r="D52" i="9"/>
  <c r="D66" i="9"/>
  <c r="AD35" i="9"/>
  <c r="P95" i="9"/>
  <c r="M95" i="9" s="1"/>
  <c r="K31" i="9"/>
  <c r="AI31" i="9" s="1"/>
  <c r="AP31" i="9" s="1"/>
  <c r="C19" i="9"/>
  <c r="D67" i="9"/>
  <c r="D32" i="9" s="1"/>
  <c r="D22" i="9" s="1"/>
  <c r="AD28" i="9"/>
  <c r="AM28" i="9" s="1"/>
  <c r="AT28" i="9" s="1"/>
  <c r="C23" i="8"/>
  <c r="D89" i="8"/>
  <c r="D38" i="8" s="1"/>
  <c r="K38" i="8"/>
  <c r="AI38" i="8" s="1"/>
  <c r="AD96" i="8"/>
  <c r="D25" i="8"/>
  <c r="P33" i="8"/>
  <c r="AJ33" i="8" s="1"/>
  <c r="AQ33" i="8" s="1"/>
  <c r="D70" i="8"/>
  <c r="D33" i="8" s="1"/>
  <c r="D21" i="8" s="1"/>
  <c r="AD33" i="8"/>
  <c r="AM33" i="8" s="1"/>
  <c r="AT33" i="8" s="1"/>
  <c r="D67" i="8"/>
  <c r="D32" i="8" s="1"/>
  <c r="D22" i="8" s="1"/>
  <c r="AN31" i="8"/>
  <c r="P93" i="8"/>
  <c r="AD28" i="8"/>
  <c r="AM28" i="8" s="1"/>
  <c r="AT28" i="8" s="1"/>
  <c r="AA17" i="7"/>
  <c r="AA23" i="7" s="1"/>
  <c r="N17" i="7"/>
  <c r="AF8" i="7"/>
  <c r="M17" i="7"/>
  <c r="K38" i="7"/>
  <c r="AI38" i="7" s="1"/>
  <c r="AP38" i="7" s="1"/>
  <c r="D57" i="7"/>
  <c r="D38" i="7" s="1"/>
  <c r="K104" i="7"/>
  <c r="D49" i="7"/>
  <c r="D53" i="7"/>
  <c r="D29" i="7" s="1"/>
  <c r="AP30" i="7"/>
  <c r="BC30" i="7" s="1"/>
  <c r="C19" i="7"/>
  <c r="W23" i="11"/>
  <c r="W19" i="11" s="1"/>
  <c r="F19" i="11"/>
  <c r="J23" i="11"/>
  <c r="J20" i="11"/>
  <c r="K20" i="11" s="1"/>
  <c r="BD28" i="11"/>
  <c r="BP28" i="11"/>
  <c r="CB28" i="11"/>
  <c r="AA17" i="11"/>
  <c r="AA23" i="11" s="1"/>
  <c r="AA24" i="11" s="1"/>
  <c r="AD24" i="11" s="1"/>
  <c r="AF24" i="11" s="1"/>
  <c r="AD10" i="11"/>
  <c r="N21" i="11"/>
  <c r="N19" i="11"/>
  <c r="BP29" i="11"/>
  <c r="CB29" i="11"/>
  <c r="BD29" i="11"/>
  <c r="BR29" i="11"/>
  <c r="BF29" i="11"/>
  <c r="CD29" i="11"/>
  <c r="V23" i="11"/>
  <c r="V19" i="11" s="1"/>
  <c r="Y17" i="11"/>
  <c r="I22" i="11"/>
  <c r="K22" i="11" s="1"/>
  <c r="O19" i="11"/>
  <c r="G17" i="11"/>
  <c r="K17" i="11" s="1"/>
  <c r="AJ40" i="11"/>
  <c r="AQ40" i="11" s="1"/>
  <c r="AS27" i="11"/>
  <c r="BQ27" i="11"/>
  <c r="AP28" i="11"/>
  <c r="BE28" i="11"/>
  <c r="CB31" i="11"/>
  <c r="BP31" i="11"/>
  <c r="BD31" i="11"/>
  <c r="BR31" i="11"/>
  <c r="BF31" i="11"/>
  <c r="CD31" i="11"/>
  <c r="AP32" i="11"/>
  <c r="AN32" i="11"/>
  <c r="CB32" i="11"/>
  <c r="BP32" i="11"/>
  <c r="BD32" i="11"/>
  <c r="BD34" i="11"/>
  <c r="CB34" i="11"/>
  <c r="BP34" i="11"/>
  <c r="BC35" i="11"/>
  <c r="CA35" i="11"/>
  <c r="BO35" i="11"/>
  <c r="BO36" i="11"/>
  <c r="CA36" i="11"/>
  <c r="BC36" i="11"/>
  <c r="AF8" i="11"/>
  <c r="Y10" i="11"/>
  <c r="AF20" i="11"/>
  <c r="AT27" i="11"/>
  <c r="AN30" i="11"/>
  <c r="AP30" i="11"/>
  <c r="CC31" i="11"/>
  <c r="BQ31" i="11"/>
  <c r="BE31" i="11"/>
  <c r="BG31" i="11"/>
  <c r="CE31" i="11"/>
  <c r="BS31" i="11"/>
  <c r="BQ32" i="11"/>
  <c r="BE32" i="11"/>
  <c r="CC32" i="11"/>
  <c r="BF32" i="11"/>
  <c r="CD32" i="11"/>
  <c r="BR32" i="11"/>
  <c r="CE32" i="11"/>
  <c r="BS32" i="11"/>
  <c r="BG32" i="11"/>
  <c r="CC34" i="11"/>
  <c r="BQ34" i="11"/>
  <c r="BE34" i="11"/>
  <c r="BS34" i="11"/>
  <c r="BG34" i="11"/>
  <c r="CE34" i="11"/>
  <c r="BR35" i="11"/>
  <c r="BF35" i="11"/>
  <c r="CD35" i="11"/>
  <c r="BQ36" i="11"/>
  <c r="CC36" i="11"/>
  <c r="BE36" i="11"/>
  <c r="BP37" i="11"/>
  <c r="CB37" i="11"/>
  <c r="BD37" i="11"/>
  <c r="X23" i="11"/>
  <c r="X19" i="11" s="1"/>
  <c r="M21" i="11"/>
  <c r="P17" i="11"/>
  <c r="BP27" i="11"/>
  <c r="BD27" i="11"/>
  <c r="CB27" i="11"/>
  <c r="BS28" i="11"/>
  <c r="BG28" i="11"/>
  <c r="CE28" i="11"/>
  <c r="CA29" i="11"/>
  <c r="BC29" i="11"/>
  <c r="AU29" i="11"/>
  <c r="AN29" i="11"/>
  <c r="BD30" i="11"/>
  <c r="CB30" i="11"/>
  <c r="BP30" i="11"/>
  <c r="AP33" i="11"/>
  <c r="AN33" i="11"/>
  <c r="BP33" i="11"/>
  <c r="BD33" i="11"/>
  <c r="CB33" i="11"/>
  <c r="CB35" i="11"/>
  <c r="BP35" i="11"/>
  <c r="BD35" i="11"/>
  <c r="AF22" i="11"/>
  <c r="CC27" i="11"/>
  <c r="CD28" i="11"/>
  <c r="BR28" i="11"/>
  <c r="BQ28" i="11"/>
  <c r="BE29" i="11"/>
  <c r="CC29" i="11"/>
  <c r="BQ29" i="11"/>
  <c r="CE29" i="11"/>
  <c r="BG29" i="11"/>
  <c r="CC30" i="11"/>
  <c r="BQ30" i="11"/>
  <c r="BE30" i="11"/>
  <c r="BS30" i="11"/>
  <c r="BG30" i="11"/>
  <c r="CE30" i="11"/>
  <c r="BC31" i="11"/>
  <c r="AU31" i="11"/>
  <c r="CA31" i="11"/>
  <c r="BO31" i="11"/>
  <c r="BE33" i="11"/>
  <c r="CC33" i="11"/>
  <c r="BQ33" i="11"/>
  <c r="CD33" i="11"/>
  <c r="BR33" i="11"/>
  <c r="BF33" i="11"/>
  <c r="CE33" i="11"/>
  <c r="BS33" i="11"/>
  <c r="BG33" i="11"/>
  <c r="AN31" i="11"/>
  <c r="AP34" i="11"/>
  <c r="CD36" i="11"/>
  <c r="BF36" i="11"/>
  <c r="BR36" i="11"/>
  <c r="CC37" i="11"/>
  <c r="BE37" i="11"/>
  <c r="BG37" i="11"/>
  <c r="CE37" i="11"/>
  <c r="BS37" i="11"/>
  <c r="CB38" i="11"/>
  <c r="BP38" i="11"/>
  <c r="BD38" i="11"/>
  <c r="BQ39" i="11"/>
  <c r="BE39" i="11"/>
  <c r="CC39" i="11"/>
  <c r="CE39" i="11"/>
  <c r="BS39" i="11"/>
  <c r="BG39" i="11"/>
  <c r="AF100" i="11"/>
  <c r="D100" i="11"/>
  <c r="I101" i="11"/>
  <c r="I40" i="11" s="1"/>
  <c r="D101" i="11"/>
  <c r="AF101" i="11"/>
  <c r="C40" i="11"/>
  <c r="C42" i="11" s="1"/>
  <c r="BF30" i="11"/>
  <c r="BF34" i="11"/>
  <c r="CC38" i="11"/>
  <c r="BQ38" i="11"/>
  <c r="BE38" i="11"/>
  <c r="BR38" i="11"/>
  <c r="BF38" i="11"/>
  <c r="CD38" i="11"/>
  <c r="BG38" i="11"/>
  <c r="CE38" i="11"/>
  <c r="BS38" i="11"/>
  <c r="P40" i="11"/>
  <c r="AF110" i="11"/>
  <c r="X99" i="11"/>
  <c r="W99" i="11"/>
  <c r="V99" i="11"/>
  <c r="J102" i="11"/>
  <c r="D102" i="11"/>
  <c r="AF102" i="11"/>
  <c r="AC96" i="11"/>
  <c r="AB96" i="11"/>
  <c r="AA96" i="11"/>
  <c r="X100" i="11"/>
  <c r="W100" i="11"/>
  <c r="V100" i="11"/>
  <c r="O99" i="11"/>
  <c r="N99" i="11"/>
  <c r="BD36" i="11"/>
  <c r="CB36" i="11"/>
  <c r="BP36" i="11"/>
  <c r="AP39" i="11"/>
  <c r="AN39" i="11"/>
  <c r="CB39" i="11"/>
  <c r="BP39" i="11"/>
  <c r="BD39" i="11"/>
  <c r="AF108" i="11"/>
  <c r="G108" i="11"/>
  <c r="D108" i="11"/>
  <c r="AF107" i="11"/>
  <c r="D107" i="11"/>
  <c r="BR39" i="11"/>
  <c r="D45" i="11"/>
  <c r="D67" i="11"/>
  <c r="D32" i="11" s="1"/>
  <c r="D22" i="11" s="1"/>
  <c r="D82" i="11"/>
  <c r="D83" i="11"/>
  <c r="P95" i="11"/>
  <c r="N95" i="11" s="1"/>
  <c r="H103" i="11"/>
  <c r="X108" i="11"/>
  <c r="CA38" i="11"/>
  <c r="CD39" i="11"/>
  <c r="T35" i="11"/>
  <c r="C93" i="11"/>
  <c r="K104" i="11"/>
  <c r="D54" i="11"/>
  <c r="D30" i="11" s="1"/>
  <c r="D65" i="11"/>
  <c r="D31" i="11" s="1"/>
  <c r="P104" i="11"/>
  <c r="H19" i="10"/>
  <c r="N19" i="10"/>
  <c r="W23" i="10"/>
  <c r="W19" i="10" s="1"/>
  <c r="AA17" i="10"/>
  <c r="AA23" i="10" s="1"/>
  <c r="AA24" i="10" s="1"/>
  <c r="AD24" i="10" s="1"/>
  <c r="AF24" i="10" s="1"/>
  <c r="AD10" i="10"/>
  <c r="AF10" i="10" s="1"/>
  <c r="X23" i="10"/>
  <c r="X19" i="10" s="1"/>
  <c r="F19" i="10"/>
  <c r="J23" i="10"/>
  <c r="J20" i="10"/>
  <c r="K20" i="10" s="1"/>
  <c r="AF20" i="10" s="1"/>
  <c r="Y17" i="10"/>
  <c r="M21" i="10"/>
  <c r="M19" i="10"/>
  <c r="AR27" i="10"/>
  <c r="C19" i="10"/>
  <c r="BQ28" i="10"/>
  <c r="BE28" i="10"/>
  <c r="CC28" i="10"/>
  <c r="BF28" i="10"/>
  <c r="CD28" i="10"/>
  <c r="BR28" i="10"/>
  <c r="CC30" i="10"/>
  <c r="BQ30" i="10"/>
  <c r="BE30" i="10"/>
  <c r="BS30" i="10"/>
  <c r="BG30" i="10"/>
  <c r="CE30" i="10"/>
  <c r="BQ32" i="10"/>
  <c r="BE32" i="10"/>
  <c r="CC32" i="10"/>
  <c r="BF32" i="10"/>
  <c r="CD32" i="10"/>
  <c r="BR32" i="10"/>
  <c r="AP35" i="10"/>
  <c r="CB35" i="10"/>
  <c r="BP35" i="10"/>
  <c r="BD35" i="10"/>
  <c r="AP36" i="10"/>
  <c r="CB36" i="10"/>
  <c r="BD36" i="10"/>
  <c r="BP36" i="10"/>
  <c r="CA29" i="10"/>
  <c r="BO29" i="10"/>
  <c r="BC29" i="10"/>
  <c r="AU29" i="10"/>
  <c r="CA33" i="10"/>
  <c r="BO33" i="10"/>
  <c r="BC33" i="10"/>
  <c r="AU33" i="10"/>
  <c r="CD34" i="10"/>
  <c r="BR34" i="10"/>
  <c r="BF34" i="10"/>
  <c r="BR35" i="10"/>
  <c r="BF35" i="10"/>
  <c r="CD35" i="10"/>
  <c r="CC36" i="10"/>
  <c r="BQ36" i="10"/>
  <c r="BE36" i="10"/>
  <c r="AN27" i="10"/>
  <c r="AQ27" i="10"/>
  <c r="AP27" i="10"/>
  <c r="CE28" i="10"/>
  <c r="BS28" i="10"/>
  <c r="BP29" i="10"/>
  <c r="BD29" i="10"/>
  <c r="CB29" i="10"/>
  <c r="CD29" i="10"/>
  <c r="BF29" i="10"/>
  <c r="CD30" i="10"/>
  <c r="BR30" i="10"/>
  <c r="BF30" i="10"/>
  <c r="AP31" i="10"/>
  <c r="AN31" i="10"/>
  <c r="CB31" i="10"/>
  <c r="BP31" i="10"/>
  <c r="BD31" i="10"/>
  <c r="CE32" i="10"/>
  <c r="BS32" i="10"/>
  <c r="BG32" i="10"/>
  <c r="BD33" i="10"/>
  <c r="CD33" i="10"/>
  <c r="BR33" i="10"/>
  <c r="BF33" i="10"/>
  <c r="AN34" i="10"/>
  <c r="AP34" i="10"/>
  <c r="BD34" i="10"/>
  <c r="CB34" i="10"/>
  <c r="BP34" i="10"/>
  <c r="V23" i="10"/>
  <c r="AS27" i="10"/>
  <c r="AT27" i="10"/>
  <c r="AP28" i="10"/>
  <c r="AN28" i="10"/>
  <c r="CB28" i="10"/>
  <c r="BP28" i="10"/>
  <c r="BD28" i="10"/>
  <c r="BE29" i="10"/>
  <c r="CC29" i="10"/>
  <c r="BQ29" i="10"/>
  <c r="CE29" i="10"/>
  <c r="BS29" i="10"/>
  <c r="BG29" i="10"/>
  <c r="AN30" i="10"/>
  <c r="AP30" i="10"/>
  <c r="CB30" i="10"/>
  <c r="BP30" i="10"/>
  <c r="CC31" i="10"/>
  <c r="BQ31" i="10"/>
  <c r="BE31" i="10"/>
  <c r="BR31" i="10"/>
  <c r="BF31" i="10"/>
  <c r="CD31" i="10"/>
  <c r="BG31" i="10"/>
  <c r="CE31" i="10"/>
  <c r="BS31" i="10"/>
  <c r="CB32" i="10"/>
  <c r="BP32" i="10"/>
  <c r="BD32" i="10"/>
  <c r="BE33" i="10"/>
  <c r="CC33" i="10"/>
  <c r="BQ33" i="10"/>
  <c r="CE33" i="10"/>
  <c r="BS33" i="10"/>
  <c r="BG33" i="10"/>
  <c r="CC34" i="10"/>
  <c r="BQ34" i="10"/>
  <c r="BE34" i="10"/>
  <c r="BS34" i="10"/>
  <c r="BG34" i="10"/>
  <c r="CE34" i="10"/>
  <c r="CB38" i="10"/>
  <c r="BP38" i="10"/>
  <c r="BD38" i="10"/>
  <c r="BR38" i="10"/>
  <c r="BF38" i="10"/>
  <c r="CD38" i="10"/>
  <c r="AP39" i="10"/>
  <c r="AN39" i="10"/>
  <c r="CB39" i="10"/>
  <c r="BP39" i="10"/>
  <c r="BD39" i="10"/>
  <c r="X100" i="10"/>
  <c r="W100" i="10"/>
  <c r="V100" i="10"/>
  <c r="X99" i="10"/>
  <c r="W99" i="10"/>
  <c r="V99" i="10"/>
  <c r="O99" i="10"/>
  <c r="N99" i="10"/>
  <c r="CD36" i="10"/>
  <c r="BR36" i="10"/>
  <c r="BF36" i="10"/>
  <c r="BS37" i="10"/>
  <c r="BG37" i="10"/>
  <c r="CE37" i="10"/>
  <c r="CC38" i="10"/>
  <c r="BQ38" i="10"/>
  <c r="BE38" i="10"/>
  <c r="BG38" i="10"/>
  <c r="CE38" i="10"/>
  <c r="BS38" i="10"/>
  <c r="BQ39" i="10"/>
  <c r="BE39" i="10"/>
  <c r="CC39" i="10"/>
  <c r="BF39" i="10"/>
  <c r="CD39" i="10"/>
  <c r="BR39" i="10"/>
  <c r="CE39" i="10"/>
  <c r="BS39" i="10"/>
  <c r="BG39" i="10"/>
  <c r="AN29" i="10"/>
  <c r="AN33" i="10"/>
  <c r="BD37" i="10"/>
  <c r="CB37" i="10"/>
  <c r="BP37" i="10"/>
  <c r="AF108" i="10"/>
  <c r="G108" i="10"/>
  <c r="D108" i="10"/>
  <c r="AF100" i="10"/>
  <c r="D100" i="10"/>
  <c r="AF101" i="10"/>
  <c r="AC96" i="10"/>
  <c r="AA96" i="10"/>
  <c r="CC37" i="10"/>
  <c r="BQ37" i="10"/>
  <c r="BE37" i="10"/>
  <c r="AF110" i="10"/>
  <c r="D45" i="10"/>
  <c r="D67" i="10"/>
  <c r="D32" i="10" s="1"/>
  <c r="D22" i="10" s="1"/>
  <c r="D82" i="10"/>
  <c r="D83" i="10"/>
  <c r="K102" i="10"/>
  <c r="H103" i="10"/>
  <c r="N107" i="10"/>
  <c r="AD35" i="10"/>
  <c r="D50" i="10"/>
  <c r="D34" i="10" s="1"/>
  <c r="D63" i="10"/>
  <c r="D28" i="10" s="1"/>
  <c r="C93" i="10"/>
  <c r="Y95" i="10"/>
  <c r="AF95" i="10" s="1"/>
  <c r="H19" i="9"/>
  <c r="N19" i="9"/>
  <c r="N21" i="9"/>
  <c r="AP27" i="9"/>
  <c r="AN27" i="9"/>
  <c r="AQ27" i="9"/>
  <c r="BS30" i="9"/>
  <c r="BG30" i="9"/>
  <c r="CE30" i="9"/>
  <c r="BQ32" i="9"/>
  <c r="BE32" i="9"/>
  <c r="CC32" i="9"/>
  <c r="I22" i="9"/>
  <c r="K22" i="9" s="1"/>
  <c r="AF22" i="9" s="1"/>
  <c r="AR27" i="9"/>
  <c r="CD29" i="9"/>
  <c r="BR29" i="9"/>
  <c r="BF29" i="9"/>
  <c r="CB31" i="9"/>
  <c r="BP31" i="9"/>
  <c r="BD31" i="9"/>
  <c r="BS34" i="9"/>
  <c r="BG34" i="9"/>
  <c r="CE34" i="9"/>
  <c r="W23" i="9"/>
  <c r="W19" i="9" s="1"/>
  <c r="K17" i="9"/>
  <c r="F19" i="9"/>
  <c r="J23" i="9"/>
  <c r="J20" i="9"/>
  <c r="K20" i="9" s="1"/>
  <c r="AF20" i="9" s="1"/>
  <c r="AA17" i="9"/>
  <c r="AA23" i="9" s="1"/>
  <c r="BP28" i="9"/>
  <c r="BD28" i="9"/>
  <c r="CB28" i="9"/>
  <c r="BR31" i="9"/>
  <c r="BF31" i="9"/>
  <c r="CD31" i="9"/>
  <c r="O19" i="9"/>
  <c r="AS27" i="9"/>
  <c r="CC29" i="9"/>
  <c r="BE29" i="9"/>
  <c r="BQ29" i="9"/>
  <c r="AF10" i="9"/>
  <c r="V23" i="9"/>
  <c r="V19" i="9" s="1"/>
  <c r="Y17" i="9"/>
  <c r="CE27" i="9"/>
  <c r="BG27" i="9"/>
  <c r="BS27" i="9"/>
  <c r="BE28" i="9"/>
  <c r="BQ28" i="9"/>
  <c r="CC28" i="9"/>
  <c r="AU29" i="9"/>
  <c r="AQ35" i="9"/>
  <c r="CE28" i="9"/>
  <c r="BS28" i="9"/>
  <c r="BD30" i="9"/>
  <c r="CB30" i="9"/>
  <c r="BF32" i="9"/>
  <c r="CD32" i="9"/>
  <c r="X99" i="9"/>
  <c r="W99" i="9"/>
  <c r="V99" i="9"/>
  <c r="C40" i="9"/>
  <c r="C42" i="9" s="1"/>
  <c r="BP29" i="9"/>
  <c r="CD30" i="9"/>
  <c r="BR30" i="9"/>
  <c r="BF30" i="9"/>
  <c r="CC31" i="9"/>
  <c r="BQ31" i="9"/>
  <c r="BE31" i="9"/>
  <c r="AN31" i="9"/>
  <c r="CB32" i="9"/>
  <c r="BP32" i="9"/>
  <c r="BD32" i="9"/>
  <c r="BR32" i="9"/>
  <c r="AN34" i="9"/>
  <c r="BD34" i="9"/>
  <c r="CB34" i="9"/>
  <c r="AP34" i="9"/>
  <c r="BC35" i="9"/>
  <c r="CA35" i="9"/>
  <c r="BE36" i="9"/>
  <c r="CC36" i="9"/>
  <c r="CE36" i="9"/>
  <c r="BS37" i="9"/>
  <c r="BG37" i="9"/>
  <c r="CE37" i="9"/>
  <c r="BC31" i="9"/>
  <c r="AU31" i="9"/>
  <c r="CA31" i="9"/>
  <c r="BO31" i="9"/>
  <c r="BR35" i="9"/>
  <c r="BF35" i="9"/>
  <c r="BQ39" i="9"/>
  <c r="BE39" i="9"/>
  <c r="CC39" i="9"/>
  <c r="AD8" i="9"/>
  <c r="AF8" i="9" s="1"/>
  <c r="AP28" i="9"/>
  <c r="BG28" i="9"/>
  <c r="AN29" i="9"/>
  <c r="AP33" i="9"/>
  <c r="BE33" i="9"/>
  <c r="CC33" i="9"/>
  <c r="CD34" i="9"/>
  <c r="BR34" i="9"/>
  <c r="BF34" i="9"/>
  <c r="BO35" i="9"/>
  <c r="CC37" i="9"/>
  <c r="BQ37" i="9"/>
  <c r="CB29" i="9"/>
  <c r="AP30" i="9"/>
  <c r="BG31" i="9"/>
  <c r="CE31" i="9"/>
  <c r="CD33" i="9"/>
  <c r="BR33" i="9"/>
  <c r="CC34" i="9"/>
  <c r="BQ34" i="9"/>
  <c r="BP36" i="9"/>
  <c r="BD36" i="9"/>
  <c r="CB36" i="9"/>
  <c r="X19" i="9"/>
  <c r="BO29" i="9"/>
  <c r="BC29" i="9"/>
  <c r="CA29" i="9"/>
  <c r="CC30" i="9"/>
  <c r="BQ30" i="9"/>
  <c r="BP30" i="9"/>
  <c r="BF33" i="9"/>
  <c r="BE34" i="9"/>
  <c r="AP36" i="9"/>
  <c r="CB39" i="9"/>
  <c r="BP39" i="9"/>
  <c r="BD39" i="9"/>
  <c r="CE39" i="9"/>
  <c r="BS39" i="9"/>
  <c r="BG39" i="9"/>
  <c r="D47" i="9"/>
  <c r="P93" i="9"/>
  <c r="P33" i="9"/>
  <c r="AJ33" i="9" s="1"/>
  <c r="AQ33" i="9" s="1"/>
  <c r="V103" i="9"/>
  <c r="D53" i="9"/>
  <c r="D29" i="9" s="1"/>
  <c r="D57" i="9"/>
  <c r="K38" i="9"/>
  <c r="AI38" i="9" s="1"/>
  <c r="BG38" i="9"/>
  <c r="CE38" i="9"/>
  <c r="D63" i="9"/>
  <c r="D28" i="9" s="1"/>
  <c r="Y100" i="9"/>
  <c r="AF100" i="9" s="1"/>
  <c r="Y28" i="9"/>
  <c r="AL28" i="9" s="1"/>
  <c r="AS28" i="9" s="1"/>
  <c r="AD101" i="9"/>
  <c r="AD32" i="9"/>
  <c r="AM32" i="9" s="1"/>
  <c r="AT32" i="9" s="1"/>
  <c r="AD104" i="9"/>
  <c r="BR36" i="9"/>
  <c r="BF39" i="9"/>
  <c r="CD39" i="9"/>
  <c r="H40" i="9"/>
  <c r="D70" i="9"/>
  <c r="K95" i="9"/>
  <c r="AD96" i="9"/>
  <c r="Y102" i="9"/>
  <c r="AF102" i="9" s="1"/>
  <c r="D90" i="9"/>
  <c r="K104" i="9"/>
  <c r="J102" i="9"/>
  <c r="BF36" i="9"/>
  <c r="AD93" i="9"/>
  <c r="G108" i="9"/>
  <c r="D55" i="9"/>
  <c r="Y38" i="9"/>
  <c r="AL38" i="9" s="1"/>
  <c r="AS38" i="9" s="1"/>
  <c r="D100" i="9"/>
  <c r="AD107" i="9"/>
  <c r="AC107" i="9" s="1"/>
  <c r="D65" i="9"/>
  <c r="D31" i="9" s="1"/>
  <c r="D69" i="9"/>
  <c r="P96" i="9"/>
  <c r="Y109" i="9"/>
  <c r="P104" i="9"/>
  <c r="AF99" i="9"/>
  <c r="D99" i="9"/>
  <c r="CC38" i="9"/>
  <c r="BQ38" i="9"/>
  <c r="BE38" i="9"/>
  <c r="CB38" i="9"/>
  <c r="BP38" i="9"/>
  <c r="D54" i="9"/>
  <c r="D30" i="9" s="1"/>
  <c r="P108" i="9"/>
  <c r="M108" i="9" s="1"/>
  <c r="Y101" i="9"/>
  <c r="P37" i="9"/>
  <c r="AJ37" i="9" s="1"/>
  <c r="AQ37" i="9" s="1"/>
  <c r="C93" i="9"/>
  <c r="AF103" i="9"/>
  <c r="H19" i="8"/>
  <c r="N19" i="8"/>
  <c r="W23" i="8"/>
  <c r="W19" i="8" s="1"/>
  <c r="I22" i="8"/>
  <c r="K22" i="8" s="1"/>
  <c r="AF22" i="8" s="1"/>
  <c r="X23" i="8"/>
  <c r="X19" i="8" s="1"/>
  <c r="F19" i="8"/>
  <c r="R17" i="8"/>
  <c r="AA17" i="8"/>
  <c r="AA23" i="8" s="1"/>
  <c r="CB28" i="8"/>
  <c r="BP28" i="8"/>
  <c r="BD28" i="8"/>
  <c r="G19" i="8"/>
  <c r="Y17" i="8"/>
  <c r="AQ27" i="8"/>
  <c r="AT27" i="8"/>
  <c r="BC28" i="8"/>
  <c r="AU28" i="8"/>
  <c r="CA28" i="8"/>
  <c r="BO28" i="8"/>
  <c r="AP30" i="8"/>
  <c r="AN30" i="8"/>
  <c r="BP30" i="8"/>
  <c r="BD30" i="8"/>
  <c r="CB30" i="8"/>
  <c r="BC32" i="8"/>
  <c r="AU32" i="8"/>
  <c r="CA32" i="8"/>
  <c r="BO32" i="8"/>
  <c r="BE34" i="8"/>
  <c r="CC34" i="8"/>
  <c r="BQ34" i="8"/>
  <c r="CD34" i="8"/>
  <c r="BR34" i="8"/>
  <c r="BF34" i="8"/>
  <c r="CE34" i="8"/>
  <c r="BS34" i="8"/>
  <c r="BG34" i="8"/>
  <c r="BD35" i="8"/>
  <c r="CB35" i="8"/>
  <c r="BP35" i="8"/>
  <c r="AR27" i="8"/>
  <c r="BR28" i="8"/>
  <c r="BF28" i="8"/>
  <c r="CD28" i="8"/>
  <c r="BE30" i="8"/>
  <c r="CC30" i="8"/>
  <c r="BQ30" i="8"/>
  <c r="CD30" i="8"/>
  <c r="BR30" i="8"/>
  <c r="BF30" i="8"/>
  <c r="CE30" i="8"/>
  <c r="BS30" i="8"/>
  <c r="BG30" i="8"/>
  <c r="BD31" i="8"/>
  <c r="CB31" i="8"/>
  <c r="BP31" i="8"/>
  <c r="BS31" i="8"/>
  <c r="BG31" i="8"/>
  <c r="CE31" i="8"/>
  <c r="CB32" i="8"/>
  <c r="BP32" i="8"/>
  <c r="BD32" i="8"/>
  <c r="BR32" i="8"/>
  <c r="BF32" i="8"/>
  <c r="CD32" i="8"/>
  <c r="AD8" i="8"/>
  <c r="AF8" i="8" s="1"/>
  <c r="CC28" i="8"/>
  <c r="BQ28" i="8"/>
  <c r="BE28" i="8"/>
  <c r="BG28" i="8"/>
  <c r="CE28" i="8"/>
  <c r="BS28" i="8"/>
  <c r="AP29" i="8"/>
  <c r="AN29" i="8"/>
  <c r="CB29" i="8"/>
  <c r="BP29" i="8"/>
  <c r="BD29" i="8"/>
  <c r="CC31" i="8"/>
  <c r="BQ31" i="8"/>
  <c r="BE31" i="8"/>
  <c r="CD31" i="8"/>
  <c r="BR31" i="8"/>
  <c r="BF31" i="8"/>
  <c r="CC32" i="8"/>
  <c r="BQ32" i="8"/>
  <c r="BE32" i="8"/>
  <c r="BG32" i="8"/>
  <c r="CE32" i="8"/>
  <c r="BS32" i="8"/>
  <c r="AP33" i="8"/>
  <c r="CB33" i="8"/>
  <c r="BP33" i="8"/>
  <c r="BD33" i="8"/>
  <c r="BP36" i="8"/>
  <c r="BD36" i="8"/>
  <c r="CB36" i="8"/>
  <c r="AP27" i="8"/>
  <c r="BQ29" i="8"/>
  <c r="BE29" i="8"/>
  <c r="CC29" i="8"/>
  <c r="BF29" i="8"/>
  <c r="CD29" i="8"/>
  <c r="BR29" i="8"/>
  <c r="CE29" i="8"/>
  <c r="BS29" i="8"/>
  <c r="BG29" i="8"/>
  <c r="BQ33" i="8"/>
  <c r="BE33" i="8"/>
  <c r="CC33" i="8"/>
  <c r="CE33" i="8"/>
  <c r="BS33" i="8"/>
  <c r="BG33" i="8"/>
  <c r="AP34" i="8"/>
  <c r="AN34" i="8"/>
  <c r="BP34" i="8"/>
  <c r="BD34" i="8"/>
  <c r="CB34" i="8"/>
  <c r="CD36" i="8"/>
  <c r="BR36" i="8"/>
  <c r="BF36" i="8"/>
  <c r="C40" i="8"/>
  <c r="C42" i="8" s="1"/>
  <c r="AN28" i="8"/>
  <c r="AP31" i="8"/>
  <c r="AN32" i="8"/>
  <c r="AP35" i="8"/>
  <c r="AP36" i="8"/>
  <c r="BD37" i="8"/>
  <c r="CB37" i="8"/>
  <c r="BP37" i="8"/>
  <c r="BG38" i="8"/>
  <c r="CE38" i="8"/>
  <c r="BS38" i="8"/>
  <c r="CB39" i="8"/>
  <c r="BP39" i="8"/>
  <c r="BD39" i="8"/>
  <c r="CE39" i="8"/>
  <c r="BS39" i="8"/>
  <c r="BG39" i="8"/>
  <c r="O103" i="8"/>
  <c r="D103" i="8"/>
  <c r="N103" i="8"/>
  <c r="BF35" i="8"/>
  <c r="CC37" i="8"/>
  <c r="BQ37" i="8"/>
  <c r="BE37" i="8"/>
  <c r="BS37" i="8"/>
  <c r="BG37" i="8"/>
  <c r="CE37" i="8"/>
  <c r="AP38" i="8"/>
  <c r="AN38" i="8"/>
  <c r="CB38" i="8"/>
  <c r="BP38" i="8"/>
  <c r="BD38" i="8"/>
  <c r="BQ39" i="8"/>
  <c r="BE39" i="8"/>
  <c r="CC39" i="8"/>
  <c r="BF39" i="8"/>
  <c r="CD39" i="8"/>
  <c r="BR39" i="8"/>
  <c r="AF110" i="8"/>
  <c r="X100" i="8"/>
  <c r="W100" i="8"/>
  <c r="V100" i="8"/>
  <c r="CC38" i="8"/>
  <c r="BQ38" i="8"/>
  <c r="BE38" i="8"/>
  <c r="BR38" i="8"/>
  <c r="BF38" i="8"/>
  <c r="CD38" i="8"/>
  <c r="D48" i="8"/>
  <c r="AF107" i="8"/>
  <c r="D107" i="8"/>
  <c r="I101" i="8"/>
  <c r="AF101" i="8"/>
  <c r="AC96" i="8"/>
  <c r="AC40" i="8" s="1"/>
  <c r="AB96" i="8"/>
  <c r="AA96" i="8"/>
  <c r="AU39" i="8"/>
  <c r="CA39" i="8"/>
  <c r="BO39" i="8"/>
  <c r="BC39" i="8"/>
  <c r="G108" i="8"/>
  <c r="AF100" i="8"/>
  <c r="D100" i="8"/>
  <c r="O99" i="8"/>
  <c r="N99" i="8"/>
  <c r="AF103" i="8"/>
  <c r="AF99" i="8"/>
  <c r="K102" i="8"/>
  <c r="H103" i="8"/>
  <c r="N107" i="8"/>
  <c r="AN39" i="8"/>
  <c r="D50" i="8"/>
  <c r="D34" i="8" s="1"/>
  <c r="D63" i="8"/>
  <c r="D28" i="8" s="1"/>
  <c r="D76" i="8"/>
  <c r="C93" i="8"/>
  <c r="K104" i="8"/>
  <c r="P108" i="8"/>
  <c r="M108" i="8" s="1"/>
  <c r="D53" i="8"/>
  <c r="D29" i="8" s="1"/>
  <c r="D65" i="8"/>
  <c r="D31" i="8" s="1"/>
  <c r="D69" i="8"/>
  <c r="K95" i="8"/>
  <c r="H95" i="8" s="1"/>
  <c r="AA17" i="6"/>
  <c r="V17" i="6"/>
  <c r="Y17" i="6" s="1"/>
  <c r="AF8" i="6"/>
  <c r="C23" i="6"/>
  <c r="C35" i="6"/>
  <c r="C24" i="6" s="1"/>
  <c r="D70" i="6"/>
  <c r="D33" i="6" s="1"/>
  <c r="D21" i="6" s="1"/>
  <c r="AL29" i="6"/>
  <c r="AS29" i="6" s="1"/>
  <c r="BF29" i="6" s="1"/>
  <c r="N21" i="7"/>
  <c r="N19" i="7"/>
  <c r="G19" i="7"/>
  <c r="BE28" i="7"/>
  <c r="CC28" i="7"/>
  <c r="BQ28" i="7"/>
  <c r="I22" i="7"/>
  <c r="K22" i="7" s="1"/>
  <c r="AF22" i="7" s="1"/>
  <c r="X23" i="7"/>
  <c r="X19" i="7" s="1"/>
  <c r="AB10" i="7"/>
  <c r="AB17" i="7" s="1"/>
  <c r="AB23" i="7" s="1"/>
  <c r="AB25" i="7" s="1"/>
  <c r="AD25" i="7" s="1"/>
  <c r="J17" i="7"/>
  <c r="P17" i="7"/>
  <c r="P40" i="7" s="1"/>
  <c r="BF27" i="7"/>
  <c r="BR27" i="7"/>
  <c r="CD27" i="7"/>
  <c r="BP28" i="7"/>
  <c r="BD28" i="7"/>
  <c r="CB28" i="7"/>
  <c r="CE28" i="7"/>
  <c r="BS28" i="7"/>
  <c r="BG28" i="7"/>
  <c r="CD29" i="7"/>
  <c r="BR29" i="7"/>
  <c r="BF29" i="7"/>
  <c r="CB30" i="7"/>
  <c r="BP30" i="7"/>
  <c r="BD30" i="7"/>
  <c r="BQ31" i="7"/>
  <c r="BE31" i="7"/>
  <c r="CC31" i="7"/>
  <c r="CE31" i="7"/>
  <c r="BS31" i="7"/>
  <c r="BG31" i="7"/>
  <c r="AJ40" i="7"/>
  <c r="AQ40" i="7" s="1"/>
  <c r="AQ27" i="7"/>
  <c r="CD28" i="7"/>
  <c r="BR28" i="7"/>
  <c r="BF28" i="7"/>
  <c r="AN29" i="7"/>
  <c r="AP29" i="7"/>
  <c r="BD29" i="7"/>
  <c r="CB29" i="7"/>
  <c r="BP29" i="7"/>
  <c r="BS29" i="7"/>
  <c r="BG29" i="7"/>
  <c r="CE29" i="7"/>
  <c r="CC30" i="7"/>
  <c r="BQ30" i="7"/>
  <c r="BE30" i="7"/>
  <c r="BR30" i="7"/>
  <c r="BF30" i="7"/>
  <c r="CD30" i="7"/>
  <c r="BG30" i="7"/>
  <c r="CE30" i="7"/>
  <c r="BS30" i="7"/>
  <c r="CA32" i="7"/>
  <c r="BO32" i="7"/>
  <c r="BC32" i="7"/>
  <c r="AU32" i="7"/>
  <c r="CD33" i="7"/>
  <c r="BR33" i="7"/>
  <c r="BF33" i="7"/>
  <c r="AP35" i="7"/>
  <c r="CB35" i="7"/>
  <c r="BP35" i="7"/>
  <c r="BD35" i="7"/>
  <c r="H17" i="7"/>
  <c r="K17" i="7" s="1"/>
  <c r="W17" i="7"/>
  <c r="M21" i="7"/>
  <c r="AP27" i="7"/>
  <c r="CC29" i="7"/>
  <c r="BQ29" i="7"/>
  <c r="BE29" i="7"/>
  <c r="BP32" i="7"/>
  <c r="BD32" i="7"/>
  <c r="CB32" i="7"/>
  <c r="CE32" i="7"/>
  <c r="BS32" i="7"/>
  <c r="BG32" i="7"/>
  <c r="AN33" i="7"/>
  <c r="AP33" i="7"/>
  <c r="BD33" i="7"/>
  <c r="CB33" i="7"/>
  <c r="BP33" i="7"/>
  <c r="BS33" i="7"/>
  <c r="BG33" i="7"/>
  <c r="CE33" i="7"/>
  <c r="CB34" i="7"/>
  <c r="BP34" i="7"/>
  <c r="BD34" i="7"/>
  <c r="O19" i="7"/>
  <c r="AR27" i="7"/>
  <c r="AT27" i="7"/>
  <c r="AN27" i="7"/>
  <c r="AP28" i="7"/>
  <c r="AN28" i="7"/>
  <c r="AP31" i="7"/>
  <c r="AN31" i="7"/>
  <c r="CB31" i="7"/>
  <c r="BP31" i="7"/>
  <c r="BD31" i="7"/>
  <c r="BE32" i="7"/>
  <c r="CC32" i="7"/>
  <c r="BQ32" i="7"/>
  <c r="CD32" i="7"/>
  <c r="BR32" i="7"/>
  <c r="BF32" i="7"/>
  <c r="CC33" i="7"/>
  <c r="BQ33" i="7"/>
  <c r="BE33" i="7"/>
  <c r="CC34" i="7"/>
  <c r="BQ34" i="7"/>
  <c r="BE34" i="7"/>
  <c r="BR34" i="7"/>
  <c r="BF34" i="7"/>
  <c r="CD34" i="7"/>
  <c r="BG34" i="7"/>
  <c r="CE34" i="7"/>
  <c r="BS34" i="7"/>
  <c r="BO30" i="7"/>
  <c r="BR31" i="7"/>
  <c r="BO34" i="7"/>
  <c r="BR35" i="7"/>
  <c r="CD35" i="7"/>
  <c r="BE36" i="7"/>
  <c r="CC36" i="7"/>
  <c r="BQ36" i="7"/>
  <c r="CD36" i="7"/>
  <c r="BR36" i="7"/>
  <c r="BF36" i="7"/>
  <c r="CB38" i="7"/>
  <c r="BP38" i="7"/>
  <c r="BD38" i="7"/>
  <c r="AF110" i="7"/>
  <c r="J102" i="7"/>
  <c r="AF102" i="7"/>
  <c r="AC96" i="7"/>
  <c r="AC40" i="7" s="1"/>
  <c r="AB96" i="7"/>
  <c r="AA96" i="7"/>
  <c r="CA30" i="7"/>
  <c r="CD31" i="7"/>
  <c r="CA34" i="7"/>
  <c r="BD37" i="7"/>
  <c r="CB37" i="7"/>
  <c r="BP37" i="7"/>
  <c r="BS37" i="7"/>
  <c r="BG37" i="7"/>
  <c r="CE37" i="7"/>
  <c r="CC38" i="7"/>
  <c r="BQ38" i="7"/>
  <c r="BE38" i="7"/>
  <c r="BR38" i="7"/>
  <c r="BF38" i="7"/>
  <c r="CD38" i="7"/>
  <c r="BG38" i="7"/>
  <c r="CE38" i="7"/>
  <c r="BS38" i="7"/>
  <c r="X100" i="7"/>
  <c r="W100" i="7"/>
  <c r="V100" i="7"/>
  <c r="O99" i="7"/>
  <c r="N99" i="7"/>
  <c r="C40" i="7"/>
  <c r="C42" i="7" s="1"/>
  <c r="AU30" i="7"/>
  <c r="AN32" i="7"/>
  <c r="AU34" i="7"/>
  <c r="CA36" i="7"/>
  <c r="BO36" i="7"/>
  <c r="BC36" i="7"/>
  <c r="CC37" i="7"/>
  <c r="BQ37" i="7"/>
  <c r="BE37" i="7"/>
  <c r="AP39" i="7"/>
  <c r="AN39" i="7"/>
  <c r="CB39" i="7"/>
  <c r="BP39" i="7"/>
  <c r="BD39" i="7"/>
  <c r="AF108" i="7"/>
  <c r="G108" i="7"/>
  <c r="D108" i="7"/>
  <c r="AC112" i="7"/>
  <c r="AC113" i="7" s="1"/>
  <c r="AC114" i="7" s="1"/>
  <c r="AF107" i="7"/>
  <c r="D107" i="7"/>
  <c r="D104" i="7"/>
  <c r="J104" i="7"/>
  <c r="BP36" i="7"/>
  <c r="BD36" i="7"/>
  <c r="CB36" i="7"/>
  <c r="BC38" i="7"/>
  <c r="AU38" i="7"/>
  <c r="CA38" i="7"/>
  <c r="BO38" i="7"/>
  <c r="BQ39" i="7"/>
  <c r="BE39" i="7"/>
  <c r="CC39" i="7"/>
  <c r="CE39" i="7"/>
  <c r="BS39" i="7"/>
  <c r="BG39" i="7"/>
  <c r="AF100" i="7"/>
  <c r="D100" i="7"/>
  <c r="I101" i="7"/>
  <c r="I40" i="7" s="1"/>
  <c r="D101" i="7"/>
  <c r="AF101" i="7"/>
  <c r="AN38" i="7"/>
  <c r="BR39" i="7"/>
  <c r="D45" i="7"/>
  <c r="D67" i="7"/>
  <c r="D32" i="7" s="1"/>
  <c r="D22" i="7" s="1"/>
  <c r="D82" i="7"/>
  <c r="D83" i="7"/>
  <c r="P95" i="7"/>
  <c r="H99" i="7"/>
  <c r="H103" i="7"/>
  <c r="X108" i="7"/>
  <c r="CD39" i="7"/>
  <c r="D54" i="7"/>
  <c r="D30" i="7" s="1"/>
  <c r="D65" i="7"/>
  <c r="D31" i="7" s="1"/>
  <c r="D65" i="6"/>
  <c r="D31" i="6" s="1"/>
  <c r="K31" i="6"/>
  <c r="AI31" i="6" s="1"/>
  <c r="AN31" i="6" s="1"/>
  <c r="AD27" i="6"/>
  <c r="AM27" i="6" s="1"/>
  <c r="AN27" i="6" s="1"/>
  <c r="D64" i="6"/>
  <c r="D27" i="6" s="1"/>
  <c r="C19" i="6"/>
  <c r="D63" i="6"/>
  <c r="D28" i="6" s="1"/>
  <c r="D58" i="6"/>
  <c r="K38" i="6"/>
  <c r="AI38" i="6" s="1"/>
  <c r="AN38" i="6" s="1"/>
  <c r="D54" i="6"/>
  <c r="D30" i="6" s="1"/>
  <c r="D53" i="6"/>
  <c r="D29" i="6" s="1"/>
  <c r="D51" i="6"/>
  <c r="N21" i="6"/>
  <c r="N19" i="6"/>
  <c r="I22" i="6"/>
  <c r="K22" i="6" s="1"/>
  <c r="AF22" i="6" s="1"/>
  <c r="G17" i="6"/>
  <c r="M17" i="6"/>
  <c r="M40" i="6" s="1"/>
  <c r="AB17" i="6"/>
  <c r="AN28" i="6"/>
  <c r="BQ30" i="6"/>
  <c r="BE30" i="6"/>
  <c r="BF30" i="6"/>
  <c r="BR30" i="6"/>
  <c r="AN32" i="6"/>
  <c r="AP35" i="6"/>
  <c r="CA35" i="6" s="1"/>
  <c r="BP35" i="6"/>
  <c r="BD35" i="6"/>
  <c r="BR35" i="6"/>
  <c r="BF35" i="6"/>
  <c r="BG36" i="6"/>
  <c r="BS36" i="6"/>
  <c r="Y10" i="6"/>
  <c r="AD10" i="6"/>
  <c r="H17" i="6"/>
  <c r="W23" i="6"/>
  <c r="W19" i="6" s="1"/>
  <c r="AC17" i="6"/>
  <c r="AP27" i="6"/>
  <c r="CA27" i="6" s="1"/>
  <c r="AJ40" i="6"/>
  <c r="AQ40" i="6" s="1"/>
  <c r="AQ27" i="6"/>
  <c r="CB27" i="6" s="1"/>
  <c r="BD28" i="6"/>
  <c r="BP28" i="6"/>
  <c r="AP29" i="6"/>
  <c r="CA29" i="6" s="1"/>
  <c r="BP29" i="6"/>
  <c r="BD29" i="6"/>
  <c r="BR31" i="6"/>
  <c r="BF31" i="6"/>
  <c r="BD32" i="6"/>
  <c r="BP32" i="6"/>
  <c r="BS32" i="6"/>
  <c r="BG32" i="6"/>
  <c r="AP33" i="6"/>
  <c r="CA33" i="6" s="1"/>
  <c r="AN33" i="6"/>
  <c r="BP33" i="6"/>
  <c r="BD33" i="6"/>
  <c r="BS34" i="6"/>
  <c r="BG34" i="6"/>
  <c r="AN36" i="6"/>
  <c r="AP36" i="6"/>
  <c r="CA36" i="6" s="1"/>
  <c r="BD36" i="6"/>
  <c r="BP36" i="6"/>
  <c r="O19" i="6"/>
  <c r="X23" i="6"/>
  <c r="X19" i="6" s="1"/>
  <c r="F19" i="6"/>
  <c r="AR27" i="6"/>
  <c r="CC27" i="6" s="1"/>
  <c r="BQ28" i="6"/>
  <c r="BE28" i="6"/>
  <c r="BR28" i="6"/>
  <c r="BF28" i="6"/>
  <c r="BS28" i="6"/>
  <c r="BG28" i="6"/>
  <c r="BQ29" i="6"/>
  <c r="BE29" i="6"/>
  <c r="BG29" i="6"/>
  <c r="BS29" i="6"/>
  <c r="BS30" i="6"/>
  <c r="BG30" i="6"/>
  <c r="BP31" i="6"/>
  <c r="BD31" i="6"/>
  <c r="BS31" i="6"/>
  <c r="BG31" i="6"/>
  <c r="BQ32" i="6"/>
  <c r="BE32" i="6"/>
  <c r="BR32" i="6"/>
  <c r="BF32" i="6"/>
  <c r="BQ33" i="6"/>
  <c r="BE33" i="6"/>
  <c r="BR33" i="6"/>
  <c r="BF33" i="6"/>
  <c r="BG33" i="6"/>
  <c r="BS33" i="6"/>
  <c r="AP34" i="6"/>
  <c r="CA34" i="6" s="1"/>
  <c r="AN34" i="6"/>
  <c r="BP34" i="6"/>
  <c r="BD34" i="6"/>
  <c r="BQ36" i="6"/>
  <c r="BE36" i="6"/>
  <c r="BR36" i="6"/>
  <c r="BF36" i="6"/>
  <c r="J17" i="6"/>
  <c r="R17" i="6"/>
  <c r="AP30" i="6"/>
  <c r="CA30" i="6" s="1"/>
  <c r="AN30" i="6"/>
  <c r="BP30" i="6"/>
  <c r="BD30" i="6"/>
  <c r="BE31" i="6"/>
  <c r="BQ31" i="6"/>
  <c r="BQ34" i="6"/>
  <c r="BE34" i="6"/>
  <c r="BF34" i="6"/>
  <c r="BR34" i="6"/>
  <c r="AP32" i="6"/>
  <c r="CA32" i="6" s="1"/>
  <c r="BQ37" i="6"/>
  <c r="BE37" i="6"/>
  <c r="D103" i="6"/>
  <c r="AU28" i="6"/>
  <c r="BR38" i="6"/>
  <c r="BF38" i="6"/>
  <c r="AF110" i="6"/>
  <c r="AF99" i="6"/>
  <c r="G99" i="6"/>
  <c r="D99" i="6"/>
  <c r="AF107" i="6"/>
  <c r="D107" i="6"/>
  <c r="I101" i="6"/>
  <c r="I40" i="6" s="1"/>
  <c r="D101" i="6"/>
  <c r="AF101" i="6"/>
  <c r="AF103" i="6"/>
  <c r="AS27" i="6"/>
  <c r="CD27" i="6" s="1"/>
  <c r="BC28" i="6"/>
  <c r="BP38" i="6"/>
  <c r="BD38" i="6"/>
  <c r="BS38" i="6"/>
  <c r="BG38" i="6"/>
  <c r="AN39" i="6"/>
  <c r="AP39" i="6"/>
  <c r="CA39" i="6" s="1"/>
  <c r="BD39" i="6"/>
  <c r="BP39" i="6"/>
  <c r="X100" i="6"/>
  <c r="W100" i="6"/>
  <c r="V100" i="6"/>
  <c r="X99" i="6"/>
  <c r="W99" i="6"/>
  <c r="V99" i="6"/>
  <c r="J102" i="6"/>
  <c r="D102" i="6"/>
  <c r="AF102" i="6"/>
  <c r="BP37" i="6"/>
  <c r="BD37" i="6"/>
  <c r="BE38" i="6"/>
  <c r="BQ38" i="6"/>
  <c r="BQ39" i="6"/>
  <c r="BE39" i="6"/>
  <c r="BR39" i="6"/>
  <c r="BF39" i="6"/>
  <c r="BS39" i="6"/>
  <c r="BG39" i="6"/>
  <c r="O99" i="6"/>
  <c r="N99" i="6"/>
  <c r="P93" i="6"/>
  <c r="H103" i="6"/>
  <c r="D48" i="6"/>
  <c r="D76" i="6"/>
  <c r="C93" i="6"/>
  <c r="C99" i="6"/>
  <c r="K104" i="6"/>
  <c r="K95" i="6"/>
  <c r="K100" i="6"/>
  <c r="D50" i="6"/>
  <c r="D34" i="6" s="1"/>
  <c r="D67" i="6"/>
  <c r="D32" i="6" s="1"/>
  <c r="D22" i="6" s="1"/>
  <c r="AC40" i="12" l="1"/>
  <c r="D38" i="12"/>
  <c r="D101" i="8"/>
  <c r="AT27" i="6"/>
  <c r="CE27" i="6" s="1"/>
  <c r="AF108" i="6"/>
  <c r="K17" i="12"/>
  <c r="AF10" i="15"/>
  <c r="F40" i="9"/>
  <c r="D29" i="10"/>
  <c r="AF104" i="7"/>
  <c r="D104" i="13"/>
  <c r="D103" i="12"/>
  <c r="D109" i="7"/>
  <c r="P21" i="13"/>
  <c r="AF21" i="13" s="1"/>
  <c r="C40" i="15"/>
  <c r="C42" i="15" s="1"/>
  <c r="D36" i="12"/>
  <c r="D25" i="12" s="1"/>
  <c r="AF103" i="11"/>
  <c r="AD109" i="14"/>
  <c r="D75" i="15"/>
  <c r="T109" i="13"/>
  <c r="T40" i="13" s="1"/>
  <c r="D109" i="10"/>
  <c r="AD109" i="15"/>
  <c r="D104" i="10"/>
  <c r="AF95" i="14"/>
  <c r="D75" i="13"/>
  <c r="D103" i="10"/>
  <c r="AP39" i="13"/>
  <c r="AN39" i="13"/>
  <c r="G107" i="10"/>
  <c r="F107" i="10"/>
  <c r="H107" i="10"/>
  <c r="AN33" i="8"/>
  <c r="BO38" i="11"/>
  <c r="AN29" i="12"/>
  <c r="CA36" i="12"/>
  <c r="J20" i="12"/>
  <c r="K20" i="12" s="1"/>
  <c r="AF20" i="12" s="1"/>
  <c r="AF102" i="13"/>
  <c r="X99" i="14"/>
  <c r="CE32" i="14"/>
  <c r="BC27" i="14"/>
  <c r="AU27" i="14"/>
  <c r="AF103" i="15"/>
  <c r="CA36" i="15"/>
  <c r="AA96" i="15"/>
  <c r="D27" i="15"/>
  <c r="G107" i="6"/>
  <c r="H107" i="6"/>
  <c r="D27" i="7"/>
  <c r="D36" i="10"/>
  <c r="D27" i="11"/>
  <c r="D36" i="15"/>
  <c r="V103" i="11"/>
  <c r="V103" i="12"/>
  <c r="D36" i="6"/>
  <c r="D25" i="6" s="1"/>
  <c r="BR33" i="8"/>
  <c r="P17" i="8"/>
  <c r="N103" i="9"/>
  <c r="BG33" i="9"/>
  <c r="M21" i="9"/>
  <c r="AF104" i="10"/>
  <c r="AU38" i="11"/>
  <c r="AF103" i="12"/>
  <c r="D100" i="12"/>
  <c r="J23" i="12"/>
  <c r="AF104" i="13"/>
  <c r="AN31" i="13"/>
  <c r="AU36" i="15"/>
  <c r="AB96" i="15"/>
  <c r="D38" i="11"/>
  <c r="AC99" i="6"/>
  <c r="AD71" i="6"/>
  <c r="AD72" i="6"/>
  <c r="D109" i="9"/>
  <c r="F40" i="10"/>
  <c r="D29" i="13"/>
  <c r="D109" i="6"/>
  <c r="D108" i="6"/>
  <c r="AN27" i="8"/>
  <c r="G108" i="6"/>
  <c r="AF10" i="6"/>
  <c r="CC36" i="8"/>
  <c r="CD33" i="8"/>
  <c r="O103" i="9"/>
  <c r="BS33" i="9"/>
  <c r="D107" i="10"/>
  <c r="AF103" i="10"/>
  <c r="AU29" i="12"/>
  <c r="BF29" i="13"/>
  <c r="P17" i="13"/>
  <c r="P40" i="13" s="1"/>
  <c r="AN27" i="14"/>
  <c r="N19" i="14"/>
  <c r="BO36" i="15"/>
  <c r="Y74" i="6"/>
  <c r="Y71" i="6"/>
  <c r="Y73" i="6"/>
  <c r="K73" i="6" s="1"/>
  <c r="D73" i="6" s="1"/>
  <c r="Y72" i="6"/>
  <c r="F107" i="11"/>
  <c r="G107" i="11"/>
  <c r="H107" i="11"/>
  <c r="D109" i="11"/>
  <c r="D109" i="13"/>
  <c r="D109" i="15"/>
  <c r="BE36" i="8"/>
  <c r="CE29" i="9"/>
  <c r="AF107" i="10"/>
  <c r="D25" i="11"/>
  <c r="AN27" i="13"/>
  <c r="BR29" i="13"/>
  <c r="CD27" i="13"/>
  <c r="D95" i="14"/>
  <c r="AF102" i="15"/>
  <c r="D109" i="12"/>
  <c r="AB109" i="13"/>
  <c r="AM36" i="13"/>
  <c r="D109" i="14"/>
  <c r="Y74" i="8"/>
  <c r="Y73" i="8"/>
  <c r="Y72" i="8"/>
  <c r="Y71" i="8"/>
  <c r="M3" i="15"/>
  <c r="K3" i="15"/>
  <c r="V23" i="6"/>
  <c r="V19" i="6" s="1"/>
  <c r="D38" i="6"/>
  <c r="N95" i="7"/>
  <c r="M95" i="7"/>
  <c r="O95" i="7"/>
  <c r="BG29" i="9"/>
  <c r="D99" i="10"/>
  <c r="Y23" i="10"/>
  <c r="BR27" i="13"/>
  <c r="AN32" i="14"/>
  <c r="BO38" i="15"/>
  <c r="AN36" i="15"/>
  <c r="BG36" i="15"/>
  <c r="D27" i="13"/>
  <c r="D27" i="12"/>
  <c r="K101" i="9"/>
  <c r="I101" i="9" s="1"/>
  <c r="I40" i="9" s="1"/>
  <c r="K32" i="9"/>
  <c r="AI32" i="9" s="1"/>
  <c r="AP32" i="9" s="1"/>
  <c r="Y72" i="9"/>
  <c r="K72" i="9" s="1"/>
  <c r="D72" i="9" s="1"/>
  <c r="Y74" i="9"/>
  <c r="Y71" i="9"/>
  <c r="Y73" i="9"/>
  <c r="K73" i="9" s="1"/>
  <c r="D73" i="9" s="1"/>
  <c r="AC40" i="13"/>
  <c r="D103" i="7"/>
  <c r="W96" i="6"/>
  <c r="AP31" i="6"/>
  <c r="CA31" i="6" s="1"/>
  <c r="AF99" i="10"/>
  <c r="P21" i="11"/>
  <c r="AF21" i="11" s="1"/>
  <c r="D36" i="7"/>
  <c r="D25" i="7" s="1"/>
  <c r="D27" i="10"/>
  <c r="BG29" i="12"/>
  <c r="CE36" i="15"/>
  <c r="D27" i="14"/>
  <c r="K17" i="8"/>
  <c r="J23" i="8"/>
  <c r="J20" i="8"/>
  <c r="F40" i="11"/>
  <c r="D36" i="13"/>
  <c r="D25" i="13" s="1"/>
  <c r="X96" i="6"/>
  <c r="AD10" i="7"/>
  <c r="AF10" i="7" s="1"/>
  <c r="J23" i="7"/>
  <c r="J20" i="7"/>
  <c r="AN29" i="13"/>
  <c r="Y23" i="13"/>
  <c r="D36" i="14"/>
  <c r="D25" i="14" s="1"/>
  <c r="AB109" i="12"/>
  <c r="AM36" i="12"/>
  <c r="AT36" i="12" s="1"/>
  <c r="M3" i="11"/>
  <c r="K3" i="11"/>
  <c r="N103" i="15"/>
  <c r="O103" i="15"/>
  <c r="AB109" i="11"/>
  <c r="AM36" i="11"/>
  <c r="D111" i="11"/>
  <c r="H111" i="11"/>
  <c r="D111" i="10"/>
  <c r="H111" i="10"/>
  <c r="D38" i="10"/>
  <c r="AU38" i="10"/>
  <c r="CA38" i="10"/>
  <c r="AN38" i="10"/>
  <c r="BC38" i="10"/>
  <c r="AN27" i="11"/>
  <c r="AP27" i="11"/>
  <c r="AC40" i="11"/>
  <c r="D25" i="10"/>
  <c r="AB23" i="15"/>
  <c r="AB25" i="15" s="1"/>
  <c r="AD25" i="15" s="1"/>
  <c r="AF25" i="15" s="1"/>
  <c r="AC19" i="15"/>
  <c r="AD19" i="15" s="1"/>
  <c r="AC23" i="15"/>
  <c r="AC19" i="14"/>
  <c r="AD19" i="14" s="1"/>
  <c r="AC23" i="14"/>
  <c r="Y73" i="14"/>
  <c r="K73" i="14" s="1"/>
  <c r="D73" i="14" s="1"/>
  <c r="Y74" i="14"/>
  <c r="Y71" i="14"/>
  <c r="Y72" i="14"/>
  <c r="K72" i="14" s="1"/>
  <c r="D72" i="14" s="1"/>
  <c r="AA24" i="14"/>
  <c r="AD24" i="14" s="1"/>
  <c r="Y74" i="13"/>
  <c r="Y71" i="13"/>
  <c r="Y72" i="13"/>
  <c r="K72" i="13" s="1"/>
  <c r="D72" i="13" s="1"/>
  <c r="Y73" i="13"/>
  <c r="K73" i="13" s="1"/>
  <c r="D73" i="13" s="1"/>
  <c r="AB23" i="13"/>
  <c r="AD23" i="13" s="1"/>
  <c r="AB23" i="12"/>
  <c r="AD23" i="12" s="1"/>
  <c r="Y72" i="12"/>
  <c r="K72" i="12" s="1"/>
  <c r="D72" i="12" s="1"/>
  <c r="Y73" i="12"/>
  <c r="K73" i="12" s="1"/>
  <c r="D73" i="12" s="1"/>
  <c r="Y74" i="12"/>
  <c r="Y71" i="12"/>
  <c r="Y72" i="11"/>
  <c r="K72" i="11" s="1"/>
  <c r="D72" i="11" s="1"/>
  <c r="Y73" i="11"/>
  <c r="K73" i="11" s="1"/>
  <c r="D73" i="11" s="1"/>
  <c r="Y74" i="11"/>
  <c r="Y71" i="11"/>
  <c r="AF10" i="11"/>
  <c r="AC23" i="11"/>
  <c r="AD23" i="11" s="1"/>
  <c r="AC19" i="11"/>
  <c r="AD19" i="11" s="1"/>
  <c r="Y72" i="10"/>
  <c r="K72" i="10" s="1"/>
  <c r="D72" i="10" s="1"/>
  <c r="Y73" i="10"/>
  <c r="K73" i="10" s="1"/>
  <c r="D73" i="10" s="1"/>
  <c r="Y74" i="10"/>
  <c r="Y71" i="10"/>
  <c r="AB23" i="10"/>
  <c r="AC19" i="10"/>
  <c r="AD19" i="10" s="1"/>
  <c r="AC23" i="10"/>
  <c r="CB33" i="10"/>
  <c r="AJ40" i="10"/>
  <c r="AQ40" i="10" s="1"/>
  <c r="D101" i="10"/>
  <c r="O103" i="10"/>
  <c r="N103" i="10"/>
  <c r="AC40" i="10"/>
  <c r="D111" i="9"/>
  <c r="H111" i="9"/>
  <c r="M40" i="9"/>
  <c r="AB23" i="9"/>
  <c r="AB25" i="9" s="1"/>
  <c r="AD25" i="9" s="1"/>
  <c r="AA24" i="9"/>
  <c r="AD24" i="9" s="1"/>
  <c r="AF24" i="9" s="1"/>
  <c r="AB109" i="10"/>
  <c r="AM36" i="10"/>
  <c r="H40" i="10"/>
  <c r="D27" i="9"/>
  <c r="D36" i="9"/>
  <c r="D25" i="9" s="1"/>
  <c r="AB109" i="8"/>
  <c r="AM36" i="8"/>
  <c r="D38" i="9"/>
  <c r="D27" i="8"/>
  <c r="I40" i="8"/>
  <c r="AM36" i="7"/>
  <c r="AB109" i="7"/>
  <c r="W96" i="15"/>
  <c r="X96" i="15"/>
  <c r="W96" i="14"/>
  <c r="X96" i="14"/>
  <c r="W96" i="13"/>
  <c r="X96" i="13"/>
  <c r="W96" i="11"/>
  <c r="X96" i="11"/>
  <c r="X40" i="11" s="1"/>
  <c r="W96" i="10"/>
  <c r="W40" i="10" s="1"/>
  <c r="X96" i="10"/>
  <c r="X40" i="10" s="1"/>
  <c r="O40" i="8"/>
  <c r="W96" i="7"/>
  <c r="D19" i="7"/>
  <c r="X96" i="7"/>
  <c r="N103" i="7"/>
  <c r="O103" i="7"/>
  <c r="M40" i="8"/>
  <c r="P40" i="8"/>
  <c r="K72" i="8"/>
  <c r="D72" i="8" s="1"/>
  <c r="K73" i="8"/>
  <c r="D73" i="8" s="1"/>
  <c r="R24" i="8"/>
  <c r="T24" i="8" s="1"/>
  <c r="T17" i="8"/>
  <c r="T40" i="8" s="1"/>
  <c r="AA24" i="8"/>
  <c r="AD24" i="8" s="1"/>
  <c r="AD23" i="8"/>
  <c r="AC19" i="7"/>
  <c r="AD19" i="7" s="1"/>
  <c r="AC23" i="7"/>
  <c r="AD23" i="7" s="1"/>
  <c r="AA24" i="7"/>
  <c r="AD24" i="7" s="1"/>
  <c r="J20" i="6"/>
  <c r="J23" i="6"/>
  <c r="AC19" i="6"/>
  <c r="AD19" i="6" s="1"/>
  <c r="AC23" i="6"/>
  <c r="R24" i="6"/>
  <c r="T24" i="6" s="1"/>
  <c r="T17" i="6"/>
  <c r="T40" i="6" s="1"/>
  <c r="AB23" i="6"/>
  <c r="AB25" i="6" s="1"/>
  <c r="AD25" i="6" s="1"/>
  <c r="AF25" i="6" s="1"/>
  <c r="AA23" i="6"/>
  <c r="O95" i="6"/>
  <c r="N95" i="6"/>
  <c r="H40" i="14"/>
  <c r="H40" i="8"/>
  <c r="N103" i="6"/>
  <c r="O103" i="6"/>
  <c r="BR29" i="6"/>
  <c r="CD29" i="6"/>
  <c r="T35" i="15"/>
  <c r="R109" i="15" s="1"/>
  <c r="R40" i="15" s="1"/>
  <c r="T40" i="15"/>
  <c r="AM35" i="15"/>
  <c r="AT35" i="15" s="1"/>
  <c r="AA109" i="15"/>
  <c r="AK35" i="14"/>
  <c r="R109" i="14"/>
  <c r="R40" i="14" s="1"/>
  <c r="AM35" i="14"/>
  <c r="AT35" i="14" s="1"/>
  <c r="CE35" i="14" s="1"/>
  <c r="AA109" i="14"/>
  <c r="AM35" i="13"/>
  <c r="AT35" i="13" s="1"/>
  <c r="CE35" i="13" s="1"/>
  <c r="AA109" i="13"/>
  <c r="D48" i="13"/>
  <c r="AK35" i="12"/>
  <c r="AR35" i="12" s="1"/>
  <c r="BE35" i="12" s="1"/>
  <c r="R109" i="12"/>
  <c r="R40" i="12" s="1"/>
  <c r="AM35" i="12"/>
  <c r="AT35" i="12" s="1"/>
  <c r="BG35" i="12" s="1"/>
  <c r="AA109" i="12"/>
  <c r="AA40" i="12" s="1"/>
  <c r="AM35" i="11"/>
  <c r="AA109" i="11"/>
  <c r="AK35" i="11"/>
  <c r="AR35" i="11" s="1"/>
  <c r="BQ35" i="11" s="1"/>
  <c r="BQ40" i="11" s="1"/>
  <c r="R109" i="11"/>
  <c r="R40" i="11" s="1"/>
  <c r="AM35" i="10"/>
  <c r="AT35" i="10" s="1"/>
  <c r="BG35" i="10" s="1"/>
  <c r="AA109" i="10"/>
  <c r="AK35" i="10"/>
  <c r="R109" i="10"/>
  <c r="R40" i="10" s="1"/>
  <c r="AM35" i="9"/>
  <c r="AT35" i="9" s="1"/>
  <c r="AA109" i="9"/>
  <c r="D48" i="7"/>
  <c r="D38" i="15"/>
  <c r="AN36" i="9"/>
  <c r="BG36" i="9"/>
  <c r="P21" i="15"/>
  <c r="AF21" i="15" s="1"/>
  <c r="K23" i="15"/>
  <c r="K23" i="14"/>
  <c r="P17" i="14"/>
  <c r="P40" i="14" s="1"/>
  <c r="M40" i="14"/>
  <c r="P19" i="13"/>
  <c r="AU27" i="12"/>
  <c r="K23" i="12"/>
  <c r="K23" i="11"/>
  <c r="M19" i="11"/>
  <c r="M40" i="11"/>
  <c r="AN32" i="10"/>
  <c r="P17" i="10"/>
  <c r="P40" i="10" s="1"/>
  <c r="P19" i="10"/>
  <c r="P21" i="10"/>
  <c r="AF21" i="10" s="1"/>
  <c r="O40" i="10"/>
  <c r="K17" i="10"/>
  <c r="K23" i="10"/>
  <c r="P19" i="9"/>
  <c r="K19" i="9"/>
  <c r="K23" i="9"/>
  <c r="P17" i="9"/>
  <c r="AN39" i="9"/>
  <c r="M21" i="8"/>
  <c r="K23" i="8"/>
  <c r="M19" i="8"/>
  <c r="P19" i="8" s="1"/>
  <c r="K20" i="8"/>
  <c r="AF20" i="8" s="1"/>
  <c r="P21" i="7"/>
  <c r="AF21" i="7" s="1"/>
  <c r="AN39" i="15"/>
  <c r="H111" i="15"/>
  <c r="G111" i="15"/>
  <c r="D111" i="15"/>
  <c r="H111" i="14"/>
  <c r="G111" i="14"/>
  <c r="H111" i="13"/>
  <c r="G111" i="13"/>
  <c r="H111" i="12"/>
  <c r="G111" i="12"/>
  <c r="H111" i="8"/>
  <c r="G111" i="8"/>
  <c r="H111" i="7"/>
  <c r="G111" i="7"/>
  <c r="H111" i="6"/>
  <c r="G111" i="6"/>
  <c r="D111" i="6"/>
  <c r="AM40" i="15"/>
  <c r="AT40" i="15" s="1"/>
  <c r="CA38" i="14"/>
  <c r="AN38" i="12"/>
  <c r="AN32" i="9"/>
  <c r="AJ40" i="8"/>
  <c r="AQ40" i="8" s="1"/>
  <c r="C40" i="6"/>
  <c r="C42" i="6" s="1"/>
  <c r="AD35" i="6"/>
  <c r="D35" i="6"/>
  <c r="D24" i="6" s="1"/>
  <c r="T93" i="10"/>
  <c r="C40" i="10"/>
  <c r="C42" i="10" s="1"/>
  <c r="D76" i="9"/>
  <c r="D48" i="9"/>
  <c r="AD35" i="8"/>
  <c r="T93" i="8"/>
  <c r="AD93" i="7"/>
  <c r="T35" i="7"/>
  <c r="AD35" i="7"/>
  <c r="D19" i="15"/>
  <c r="H40" i="15"/>
  <c r="N40" i="12"/>
  <c r="V19" i="10"/>
  <c r="Y19" i="10" s="1"/>
  <c r="G40" i="8"/>
  <c r="P19" i="15"/>
  <c r="P40" i="15"/>
  <c r="Y19" i="14"/>
  <c r="P19" i="11"/>
  <c r="P40" i="9"/>
  <c r="Y23" i="8"/>
  <c r="AF25" i="7"/>
  <c r="D25" i="15"/>
  <c r="AB40" i="15"/>
  <c r="AD93" i="15"/>
  <c r="D48" i="15"/>
  <c r="X40" i="15"/>
  <c r="BC38" i="14"/>
  <c r="AU38" i="15"/>
  <c r="M3" i="14"/>
  <c r="D19" i="14"/>
  <c r="K3" i="14"/>
  <c r="W40" i="14"/>
  <c r="X40" i="14"/>
  <c r="AD93" i="13"/>
  <c r="AN30" i="13"/>
  <c r="AP30" i="13"/>
  <c r="M3" i="13"/>
  <c r="K3" i="13"/>
  <c r="W40" i="13"/>
  <c r="C40" i="12"/>
  <c r="C42" i="12" s="1"/>
  <c r="O40" i="12"/>
  <c r="G40" i="12"/>
  <c r="D48" i="11"/>
  <c r="D76" i="15"/>
  <c r="D35" i="15" s="1"/>
  <c r="D24" i="15" s="1"/>
  <c r="AD17" i="15"/>
  <c r="CA31" i="15"/>
  <c r="BO31" i="15"/>
  <c r="BC31" i="15"/>
  <c r="AU31" i="15"/>
  <c r="BG27" i="15"/>
  <c r="BS27" i="15"/>
  <c r="CE27" i="15"/>
  <c r="AU34" i="15"/>
  <c r="CA34" i="15"/>
  <c r="BO34" i="15"/>
  <c r="BC34" i="15"/>
  <c r="V23" i="15"/>
  <c r="Y23" i="15" s="1"/>
  <c r="Y17" i="15"/>
  <c r="CC27" i="15"/>
  <c r="BQ27" i="15"/>
  <c r="BE27" i="15"/>
  <c r="AU28" i="15"/>
  <c r="CA28" i="15"/>
  <c r="BO28" i="15"/>
  <c r="BC28" i="15"/>
  <c r="AF99" i="15"/>
  <c r="G99" i="15"/>
  <c r="D99" i="15"/>
  <c r="D95" i="15"/>
  <c r="AU30" i="15"/>
  <c r="BO30" i="15"/>
  <c r="BC30" i="15"/>
  <c r="CA30" i="15"/>
  <c r="K19" i="15"/>
  <c r="D104" i="15"/>
  <c r="AF104" i="15"/>
  <c r="J104" i="15"/>
  <c r="AF95" i="15"/>
  <c r="T93" i="15"/>
  <c r="BO32" i="15"/>
  <c r="BC32" i="15"/>
  <c r="AU32" i="15"/>
  <c r="CA32" i="15"/>
  <c r="BR27" i="15"/>
  <c r="BF27" i="15"/>
  <c r="CD27" i="15"/>
  <c r="O40" i="15"/>
  <c r="N40" i="15"/>
  <c r="AU39" i="15"/>
  <c r="CA39" i="15"/>
  <c r="BO39" i="15"/>
  <c r="BC39" i="15"/>
  <c r="CA29" i="15"/>
  <c r="BO29" i="15"/>
  <c r="AU29" i="15"/>
  <c r="BC29" i="15"/>
  <c r="CA35" i="15"/>
  <c r="BO35" i="15"/>
  <c r="BC35" i="15"/>
  <c r="AF24" i="15"/>
  <c r="CB27" i="15"/>
  <c r="CB40" i="15" s="1"/>
  <c r="BD27" i="15"/>
  <c r="BD40" i="15" s="1"/>
  <c r="BP27" i="15"/>
  <c r="BP40" i="15" s="1"/>
  <c r="AU27" i="15"/>
  <c r="D48" i="14"/>
  <c r="D35" i="14" s="1"/>
  <c r="D24" i="14" s="1"/>
  <c r="AD93" i="14"/>
  <c r="BO31" i="14"/>
  <c r="BC31" i="14"/>
  <c r="AU31" i="14"/>
  <c r="CA31" i="14"/>
  <c r="CA34" i="14"/>
  <c r="BO34" i="14"/>
  <c r="BC34" i="14"/>
  <c r="AU34" i="14"/>
  <c r="K19" i="14"/>
  <c r="P19" i="14"/>
  <c r="J102" i="14"/>
  <c r="D102" i="14"/>
  <c r="AF102" i="14"/>
  <c r="CA30" i="14"/>
  <c r="BO30" i="14"/>
  <c r="BC30" i="14"/>
  <c r="AU30" i="14"/>
  <c r="CD27" i="14"/>
  <c r="BR27" i="14"/>
  <c r="BF27" i="14"/>
  <c r="Y23" i="14"/>
  <c r="P21" i="14"/>
  <c r="AF21" i="14" s="1"/>
  <c r="AF99" i="14"/>
  <c r="G99" i="14"/>
  <c r="D99" i="14"/>
  <c r="AU39" i="14"/>
  <c r="CA39" i="14"/>
  <c r="BO39" i="14"/>
  <c r="BC39" i="14"/>
  <c r="BC32" i="14"/>
  <c r="AU32" i="14"/>
  <c r="CA32" i="14"/>
  <c r="BO32" i="14"/>
  <c r="BC28" i="14"/>
  <c r="AU28" i="14"/>
  <c r="CA28" i="14"/>
  <c r="BO28" i="14"/>
  <c r="AU29" i="14"/>
  <c r="CA29" i="14"/>
  <c r="BO29" i="14"/>
  <c r="BC29" i="14"/>
  <c r="AB17" i="14"/>
  <c r="O103" i="14"/>
  <c r="D103" i="14"/>
  <c r="N103" i="14"/>
  <c r="BC36" i="14"/>
  <c r="AU36" i="14"/>
  <c r="CA36" i="14"/>
  <c r="BO36" i="14"/>
  <c r="BS27" i="14"/>
  <c r="BG27" i="14"/>
  <c r="CE27" i="14"/>
  <c r="CC27" i="14"/>
  <c r="BQ27" i="14"/>
  <c r="BE27" i="14"/>
  <c r="BD27" i="14"/>
  <c r="BD40" i="14" s="1"/>
  <c r="CB27" i="14"/>
  <c r="CB40" i="14" s="1"/>
  <c r="BP27" i="14"/>
  <c r="BP40" i="14" s="1"/>
  <c r="O103" i="13"/>
  <c r="D103" i="13"/>
  <c r="N103" i="13"/>
  <c r="D76" i="13"/>
  <c r="AU27" i="13"/>
  <c r="CA27" i="13"/>
  <c r="BC27" i="13"/>
  <c r="BO27" i="13"/>
  <c r="J23" i="13"/>
  <c r="J20" i="13"/>
  <c r="K20" i="13" s="1"/>
  <c r="AF20" i="13" s="1"/>
  <c r="H40" i="13"/>
  <c r="H19" i="13"/>
  <c r="D19" i="13"/>
  <c r="AU31" i="13"/>
  <c r="CA31" i="13"/>
  <c r="BO31" i="13"/>
  <c r="BC31" i="13"/>
  <c r="CA28" i="13"/>
  <c r="BO28" i="13"/>
  <c r="AU28" i="13"/>
  <c r="BC28" i="13"/>
  <c r="BQ27" i="13"/>
  <c r="BE27" i="13"/>
  <c r="CC27" i="13"/>
  <c r="AF24" i="13"/>
  <c r="F19" i="13"/>
  <c r="K17" i="13"/>
  <c r="CA35" i="13"/>
  <c r="BO35" i="13"/>
  <c r="BC35" i="13"/>
  <c r="CB27" i="13"/>
  <c r="CB40" i="13" s="1"/>
  <c r="BP27" i="13"/>
  <c r="BP40" i="13" s="1"/>
  <c r="BD27" i="13"/>
  <c r="BD40" i="13" s="1"/>
  <c r="AF99" i="13"/>
  <c r="G99" i="13"/>
  <c r="D99" i="13"/>
  <c r="D95" i="13"/>
  <c r="T93" i="13"/>
  <c r="AF103" i="13"/>
  <c r="CA36" i="13"/>
  <c r="BO36" i="13"/>
  <c r="BC36" i="13"/>
  <c r="AU39" i="13"/>
  <c r="CA39" i="13"/>
  <c r="BO39" i="13"/>
  <c r="BC39" i="13"/>
  <c r="T35" i="13"/>
  <c r="BO29" i="13"/>
  <c r="BC29" i="13"/>
  <c r="AU29" i="13"/>
  <c r="CA29" i="13"/>
  <c r="AF95" i="13"/>
  <c r="AB40" i="13"/>
  <c r="AA40" i="13"/>
  <c r="CE27" i="13"/>
  <c r="BG27" i="13"/>
  <c r="BS27" i="13"/>
  <c r="BO33" i="13"/>
  <c r="BC33" i="13"/>
  <c r="AU33" i="13"/>
  <c r="CA33" i="13"/>
  <c r="AD17" i="13"/>
  <c r="V19" i="13"/>
  <c r="Y19" i="13" s="1"/>
  <c r="M3" i="12"/>
  <c r="K3" i="12"/>
  <c r="X99" i="12"/>
  <c r="W99" i="12"/>
  <c r="V99" i="12"/>
  <c r="BC38" i="12"/>
  <c r="AU38" i="12"/>
  <c r="CA38" i="12"/>
  <c r="BO38" i="12"/>
  <c r="D108" i="12"/>
  <c r="P21" i="12"/>
  <c r="AF21" i="12" s="1"/>
  <c r="K19" i="12"/>
  <c r="AF95" i="12"/>
  <c r="D95" i="12"/>
  <c r="BQ35" i="12"/>
  <c r="AU32" i="12"/>
  <c r="CA32" i="12"/>
  <c r="BO32" i="12"/>
  <c r="BC32" i="12"/>
  <c r="CB27" i="12"/>
  <c r="CB40" i="12" s="1"/>
  <c r="BD27" i="12"/>
  <c r="BD40" i="12" s="1"/>
  <c r="BP27" i="12"/>
  <c r="BP40" i="12" s="1"/>
  <c r="BG27" i="12"/>
  <c r="BS27" i="12"/>
  <c r="CE27" i="12"/>
  <c r="D19" i="12"/>
  <c r="D76" i="12"/>
  <c r="D35" i="12" s="1"/>
  <c r="AF108" i="12"/>
  <c r="AD17" i="12"/>
  <c r="AF17" i="12" s="1"/>
  <c r="BO30" i="12"/>
  <c r="BC30" i="12"/>
  <c r="AU30" i="12"/>
  <c r="CA30" i="12"/>
  <c r="CC27" i="12"/>
  <c r="BQ27" i="12"/>
  <c r="BE27" i="12"/>
  <c r="D104" i="12"/>
  <c r="AF104" i="12"/>
  <c r="J104" i="12"/>
  <c r="J102" i="12"/>
  <c r="D102" i="12"/>
  <c r="AF102" i="12"/>
  <c r="T93" i="12"/>
  <c r="AU35" i="12"/>
  <c r="AB40" i="12"/>
  <c r="BR27" i="12"/>
  <c r="BF27" i="12"/>
  <c r="CD27" i="12"/>
  <c r="Y23" i="12"/>
  <c r="BO34" i="12"/>
  <c r="BC34" i="12"/>
  <c r="AU34" i="12"/>
  <c r="CA34" i="12"/>
  <c r="V19" i="12"/>
  <c r="Y19" i="12" s="1"/>
  <c r="P19" i="12"/>
  <c r="G40" i="10"/>
  <c r="N40" i="10"/>
  <c r="T93" i="9"/>
  <c r="AF108" i="9"/>
  <c r="G40" i="9"/>
  <c r="AD93" i="8"/>
  <c r="AF108" i="8"/>
  <c r="N40" i="8"/>
  <c r="P21" i="8"/>
  <c r="AF21" i="8" s="1"/>
  <c r="M19" i="7"/>
  <c r="P19" i="7" s="1"/>
  <c r="M40" i="7"/>
  <c r="D76" i="7"/>
  <c r="K3" i="7"/>
  <c r="M3" i="7"/>
  <c r="AF103" i="7"/>
  <c r="O103" i="11"/>
  <c r="N103" i="11"/>
  <c r="AU39" i="11"/>
  <c r="CA39" i="11"/>
  <c r="BO39" i="11"/>
  <c r="BC39" i="11"/>
  <c r="CA33" i="11"/>
  <c r="BO33" i="11"/>
  <c r="BC33" i="11"/>
  <c r="AU33" i="11"/>
  <c r="BD40" i="11"/>
  <c r="CD27" i="11"/>
  <c r="BF27" i="11"/>
  <c r="BR27" i="11"/>
  <c r="D19" i="11"/>
  <c r="BP40" i="11"/>
  <c r="BO30" i="11"/>
  <c r="BC30" i="11"/>
  <c r="AU30" i="11"/>
  <c r="CA30" i="11"/>
  <c r="AF99" i="11"/>
  <c r="H99" i="11"/>
  <c r="H40" i="11" s="1"/>
  <c r="D99" i="11"/>
  <c r="D103" i="11"/>
  <c r="D95" i="11"/>
  <c r="AN35" i="11"/>
  <c r="AU32" i="11"/>
  <c r="CA32" i="11"/>
  <c r="BO32" i="11"/>
  <c r="BC32" i="11"/>
  <c r="BO28" i="11"/>
  <c r="BC28" i="11"/>
  <c r="AU28" i="11"/>
  <c r="CA28" i="11"/>
  <c r="Y23" i="11"/>
  <c r="AD17" i="11"/>
  <c r="D104" i="11"/>
  <c r="AF104" i="11"/>
  <c r="J104" i="11"/>
  <c r="AB40" i="11"/>
  <c r="AA40" i="11"/>
  <c r="AF95" i="11"/>
  <c r="T93" i="11"/>
  <c r="D76" i="11"/>
  <c r="D35" i="11" s="1"/>
  <c r="D24" i="11" s="1"/>
  <c r="BO34" i="11"/>
  <c r="BC34" i="11"/>
  <c r="AU34" i="11"/>
  <c r="CA34" i="11"/>
  <c r="CA27" i="11"/>
  <c r="BO27" i="11"/>
  <c r="BC27" i="11"/>
  <c r="AU27" i="11"/>
  <c r="CB40" i="11"/>
  <c r="CE27" i="11"/>
  <c r="BS27" i="11"/>
  <c r="BG27" i="11"/>
  <c r="G40" i="11"/>
  <c r="G19" i="11"/>
  <c r="K19" i="11" s="1"/>
  <c r="Y19" i="11"/>
  <c r="J102" i="10"/>
  <c r="D102" i="10"/>
  <c r="AF102" i="10"/>
  <c r="BG27" i="10"/>
  <c r="CE27" i="10"/>
  <c r="BS27" i="10"/>
  <c r="CB27" i="10"/>
  <c r="CB40" i="10" s="1"/>
  <c r="BP27" i="10"/>
  <c r="BP40" i="10" s="1"/>
  <c r="BD27" i="10"/>
  <c r="BD40" i="10" s="1"/>
  <c r="BC35" i="10"/>
  <c r="CA35" i="10"/>
  <c r="BO35" i="10"/>
  <c r="K19" i="10"/>
  <c r="AD17" i="10"/>
  <c r="AF17" i="10" s="1"/>
  <c r="D95" i="10"/>
  <c r="D48" i="10"/>
  <c r="D35" i="10" s="1"/>
  <c r="D24" i="10" s="1"/>
  <c r="AM40" i="10"/>
  <c r="AT40" i="10" s="1"/>
  <c r="CC27" i="10"/>
  <c r="BQ27" i="10"/>
  <c r="BE27" i="10"/>
  <c r="D19" i="10"/>
  <c r="AU32" i="10"/>
  <c r="CA32" i="10"/>
  <c r="BO32" i="10"/>
  <c r="BC32" i="10"/>
  <c r="BR27" i="10"/>
  <c r="BF27" i="10"/>
  <c r="CD27" i="10"/>
  <c r="BC31" i="10"/>
  <c r="AU31" i="10"/>
  <c r="CA31" i="10"/>
  <c r="BO31" i="10"/>
  <c r="CA36" i="10"/>
  <c r="BC36" i="10"/>
  <c r="BO36" i="10"/>
  <c r="AD93" i="10"/>
  <c r="AU39" i="10"/>
  <c r="CA39" i="10"/>
  <c r="BO39" i="10"/>
  <c r="BC39" i="10"/>
  <c r="BO30" i="10"/>
  <c r="BC30" i="10"/>
  <c r="AU30" i="10"/>
  <c r="CA30" i="10"/>
  <c r="AU28" i="10"/>
  <c r="CA28" i="10"/>
  <c r="BO28" i="10"/>
  <c r="BC28" i="10"/>
  <c r="BO34" i="10"/>
  <c r="BC34" i="10"/>
  <c r="AU34" i="10"/>
  <c r="CA34" i="10"/>
  <c r="BC27" i="10"/>
  <c r="AU27" i="10"/>
  <c r="CA27" i="10"/>
  <c r="BO27" i="10"/>
  <c r="AN35" i="10"/>
  <c r="K3" i="9"/>
  <c r="M3" i="9"/>
  <c r="AJ40" i="9"/>
  <c r="AQ40" i="9" s="1"/>
  <c r="D101" i="9"/>
  <c r="AF107" i="9"/>
  <c r="CD28" i="9"/>
  <c r="BR28" i="9"/>
  <c r="BF28" i="9"/>
  <c r="D33" i="9"/>
  <c r="D21" i="9" s="1"/>
  <c r="CA36" i="9"/>
  <c r="BO36" i="9"/>
  <c r="BC36" i="9"/>
  <c r="AU36" i="9"/>
  <c r="AU32" i="9"/>
  <c r="CA32" i="9"/>
  <c r="BO32" i="9"/>
  <c r="BC32" i="9"/>
  <c r="BQ27" i="9"/>
  <c r="CC27" i="9"/>
  <c r="BE27" i="9"/>
  <c r="BD37" i="9"/>
  <c r="CB37" i="9"/>
  <c r="BP37" i="9"/>
  <c r="BR38" i="9"/>
  <c r="BF38" i="9"/>
  <c r="CD38" i="9"/>
  <c r="D102" i="9"/>
  <c r="T35" i="9"/>
  <c r="D19" i="9"/>
  <c r="D108" i="9"/>
  <c r="D104" i="9"/>
  <c r="AF104" i="9"/>
  <c r="J104" i="9"/>
  <c r="AC96" i="9"/>
  <c r="AC40" i="9" s="1"/>
  <c r="AB96" i="9"/>
  <c r="AA96" i="9"/>
  <c r="X100" i="9"/>
  <c r="X96" i="9" s="1"/>
  <c r="X40" i="9" s="1"/>
  <c r="W100" i="9"/>
  <c r="W96" i="9" s="1"/>
  <c r="V100" i="9"/>
  <c r="AP38" i="9"/>
  <c r="AN38" i="9"/>
  <c r="AN33" i="9"/>
  <c r="AN28" i="9"/>
  <c r="BO34" i="9"/>
  <c r="BC34" i="9"/>
  <c r="AU34" i="9"/>
  <c r="CA34" i="9"/>
  <c r="Y19" i="9"/>
  <c r="P21" i="9"/>
  <c r="AF21" i="9" s="1"/>
  <c r="AD17" i="9"/>
  <c r="AF17" i="9" s="1"/>
  <c r="CA27" i="9"/>
  <c r="BC27" i="9"/>
  <c r="AU27" i="9"/>
  <c r="BO27" i="9"/>
  <c r="CB35" i="9"/>
  <c r="BP35" i="9"/>
  <c r="BD35" i="9"/>
  <c r="D107" i="9"/>
  <c r="AU39" i="9"/>
  <c r="CA39" i="9"/>
  <c r="BO39" i="9"/>
  <c r="BC39" i="9"/>
  <c r="O99" i="9"/>
  <c r="N99" i="9"/>
  <c r="AF95" i="9"/>
  <c r="D95" i="9"/>
  <c r="CE32" i="9"/>
  <c r="BS32" i="9"/>
  <c r="BG32" i="9"/>
  <c r="BP33" i="9"/>
  <c r="BD33" i="9"/>
  <c r="CB33" i="9"/>
  <c r="BO30" i="9"/>
  <c r="BC30" i="9"/>
  <c r="AU30" i="9"/>
  <c r="CA30" i="9"/>
  <c r="CA33" i="9"/>
  <c r="BO33" i="9"/>
  <c r="BC33" i="9"/>
  <c r="AU33" i="9"/>
  <c r="CA28" i="9"/>
  <c r="BO28" i="9"/>
  <c r="AU28" i="9"/>
  <c r="BC28" i="9"/>
  <c r="Y23" i="9"/>
  <c r="CD27" i="9"/>
  <c r="BF27" i="9"/>
  <c r="BR27" i="9"/>
  <c r="CB27" i="9"/>
  <c r="BP27" i="9"/>
  <c r="BD27" i="9"/>
  <c r="AF95" i="8"/>
  <c r="D95" i="8"/>
  <c r="X99" i="8"/>
  <c r="X96" i="8" s="1"/>
  <c r="W99" i="8"/>
  <c r="W96" i="8" s="1"/>
  <c r="V99" i="8"/>
  <c r="D108" i="8"/>
  <c r="BO31" i="8"/>
  <c r="BC31" i="8"/>
  <c r="AU31" i="8"/>
  <c r="CA31" i="8"/>
  <c r="CD27" i="8"/>
  <c r="BF27" i="8"/>
  <c r="BR27" i="8"/>
  <c r="BS27" i="8"/>
  <c r="CE27" i="8"/>
  <c r="BG27" i="8"/>
  <c r="D104" i="8"/>
  <c r="AF104" i="8"/>
  <c r="J104" i="8"/>
  <c r="CA36" i="8"/>
  <c r="BO36" i="8"/>
  <c r="BC36" i="8"/>
  <c r="BO27" i="8"/>
  <c r="AU27" i="8"/>
  <c r="CA27" i="8"/>
  <c r="BC27" i="8"/>
  <c r="T35" i="8"/>
  <c r="V19" i="8"/>
  <c r="Y19" i="8" s="1"/>
  <c r="K19" i="8"/>
  <c r="D35" i="8"/>
  <c r="D24" i="8" s="1"/>
  <c r="BC38" i="8"/>
  <c r="AU38" i="8"/>
  <c r="CA38" i="8"/>
  <c r="BO38" i="8"/>
  <c r="BO35" i="8"/>
  <c r="BC35" i="8"/>
  <c r="CA35" i="8"/>
  <c r="CA34" i="8"/>
  <c r="BO34" i="8"/>
  <c r="BC34" i="8"/>
  <c r="AU34" i="8"/>
  <c r="AU33" i="8"/>
  <c r="CA33" i="8"/>
  <c r="BO33" i="8"/>
  <c r="BC33" i="8"/>
  <c r="BD27" i="8"/>
  <c r="BD40" i="8" s="1"/>
  <c r="CB27" i="8"/>
  <c r="CB40" i="8" s="1"/>
  <c r="BP27" i="8"/>
  <c r="BP40" i="8" s="1"/>
  <c r="D19" i="8"/>
  <c r="K3" i="8"/>
  <c r="M3" i="8"/>
  <c r="J102" i="8"/>
  <c r="D102" i="8"/>
  <c r="AF102" i="8"/>
  <c r="D99" i="8"/>
  <c r="AU29" i="8"/>
  <c r="CA29" i="8"/>
  <c r="BO29" i="8"/>
  <c r="BC29" i="8"/>
  <c r="BQ27" i="8"/>
  <c r="BE27" i="8"/>
  <c r="CC27" i="8"/>
  <c r="CA30" i="8"/>
  <c r="BO30" i="8"/>
  <c r="BC30" i="8"/>
  <c r="AU30" i="8"/>
  <c r="AD17" i="8"/>
  <c r="AF17" i="8" s="1"/>
  <c r="AN29" i="6"/>
  <c r="AF24" i="7"/>
  <c r="AD17" i="7"/>
  <c r="O40" i="7"/>
  <c r="AF95" i="7"/>
  <c r="T93" i="7"/>
  <c r="AU31" i="7"/>
  <c r="CA31" i="7"/>
  <c r="BO31" i="7"/>
  <c r="BC31" i="7"/>
  <c r="CE27" i="7"/>
  <c r="BG27" i="7"/>
  <c r="BS27" i="7"/>
  <c r="H40" i="7"/>
  <c r="H19" i="7"/>
  <c r="K19" i="7" s="1"/>
  <c r="BO29" i="7"/>
  <c r="BC29" i="7"/>
  <c r="AU29" i="7"/>
  <c r="CA29" i="7"/>
  <c r="K20" i="7"/>
  <c r="AF20" i="7" s="1"/>
  <c r="CA35" i="7"/>
  <c r="BO35" i="7"/>
  <c r="BC35" i="7"/>
  <c r="CB27" i="7"/>
  <c r="CB40" i="7" s="1"/>
  <c r="BP27" i="7"/>
  <c r="BP40" i="7" s="1"/>
  <c r="BD27" i="7"/>
  <c r="BD40" i="7" s="1"/>
  <c r="AF99" i="7"/>
  <c r="G40" i="7"/>
  <c r="D99" i="7"/>
  <c r="CA28" i="7"/>
  <c r="BO28" i="7"/>
  <c r="BC28" i="7"/>
  <c r="AU28" i="7"/>
  <c r="BQ27" i="7"/>
  <c r="BE27" i="7"/>
  <c r="CC27" i="7"/>
  <c r="AU27" i="7"/>
  <c r="CA27" i="7"/>
  <c r="BC27" i="7"/>
  <c r="BO27" i="7"/>
  <c r="AU39" i="7"/>
  <c r="CA39" i="7"/>
  <c r="BO39" i="7"/>
  <c r="BC39" i="7"/>
  <c r="D95" i="7"/>
  <c r="BO33" i="7"/>
  <c r="BC33" i="7"/>
  <c r="AU33" i="7"/>
  <c r="CA33" i="7"/>
  <c r="W40" i="7"/>
  <c r="W23" i="7"/>
  <c r="W19" i="7" s="1"/>
  <c r="Y19" i="7" s="1"/>
  <c r="Y17" i="7"/>
  <c r="AP38" i="6"/>
  <c r="X40" i="6"/>
  <c r="W40" i="6"/>
  <c r="M3" i="6"/>
  <c r="D19" i="6"/>
  <c r="K3" i="6"/>
  <c r="AF95" i="6"/>
  <c r="D95" i="6"/>
  <c r="K20" i="6"/>
  <c r="AF20" i="6" s="1"/>
  <c r="BE27" i="6"/>
  <c r="BQ27" i="6"/>
  <c r="K17" i="6"/>
  <c r="BO27" i="6"/>
  <c r="BC27" i="6"/>
  <c r="AU27" i="6"/>
  <c r="D104" i="6"/>
  <c r="AF104" i="6"/>
  <c r="J104" i="6"/>
  <c r="BO32" i="6"/>
  <c r="BC32" i="6"/>
  <c r="AU32" i="6"/>
  <c r="BC29" i="6"/>
  <c r="AU29" i="6"/>
  <c r="BO29" i="6"/>
  <c r="BP27" i="6"/>
  <c r="BP40" i="6" s="1"/>
  <c r="BD27" i="6"/>
  <c r="BD40" i="6" s="1"/>
  <c r="CB40" i="6"/>
  <c r="M19" i="6"/>
  <c r="P19" i="6" s="1"/>
  <c r="M21" i="6"/>
  <c r="P21" i="6" s="1"/>
  <c r="AF21" i="6" s="1"/>
  <c r="P17" i="6"/>
  <c r="P40" i="6" s="1"/>
  <c r="Y19" i="6"/>
  <c r="T93" i="6"/>
  <c r="T35" i="6"/>
  <c r="BS27" i="6"/>
  <c r="BG27" i="6"/>
  <c r="BR27" i="6"/>
  <c r="BF27" i="6"/>
  <c r="AU30" i="6"/>
  <c r="BO30" i="6"/>
  <c r="BC30" i="6"/>
  <c r="BO31" i="6"/>
  <c r="BC31" i="6"/>
  <c r="AU31" i="6"/>
  <c r="AU36" i="6"/>
  <c r="BC36" i="6"/>
  <c r="BO36" i="6"/>
  <c r="G19" i="6"/>
  <c r="AD17" i="6"/>
  <c r="AF100" i="6"/>
  <c r="D100" i="6"/>
  <c r="BO39" i="6"/>
  <c r="BC39" i="6"/>
  <c r="AU39" i="6"/>
  <c r="AU34" i="6"/>
  <c r="BO34" i="6"/>
  <c r="BC34" i="6"/>
  <c r="BC33" i="6"/>
  <c r="AU33" i="6"/>
  <c r="BO33" i="6"/>
  <c r="H19" i="6"/>
  <c r="BO35" i="6"/>
  <c r="BC35" i="6"/>
  <c r="Y23" i="6"/>
  <c r="K19" i="6" l="1"/>
  <c r="AD40" i="12"/>
  <c r="AF101" i="9"/>
  <c r="N40" i="7"/>
  <c r="AF17" i="6"/>
  <c r="AK35" i="15"/>
  <c r="AR35" i="15" s="1"/>
  <c r="BE35" i="15" s="1"/>
  <c r="AN36" i="12"/>
  <c r="K71" i="9"/>
  <c r="Y93" i="9"/>
  <c r="Y40" i="9" s="1"/>
  <c r="Y37" i="9"/>
  <c r="AL37" i="9" s="1"/>
  <c r="Y37" i="6"/>
  <c r="AL37" i="6" s="1"/>
  <c r="Y93" i="6"/>
  <c r="Y40" i="6" s="1"/>
  <c r="AF17" i="7"/>
  <c r="K74" i="9"/>
  <c r="Y96" i="9"/>
  <c r="K74" i="6"/>
  <c r="D74" i="6" s="1"/>
  <c r="Y96" i="6"/>
  <c r="CE36" i="12"/>
  <c r="BG36" i="12"/>
  <c r="BS36" i="12"/>
  <c r="AK40" i="15"/>
  <c r="AR40" i="15" s="1"/>
  <c r="AA40" i="9"/>
  <c r="AU35" i="15"/>
  <c r="BQ35" i="15"/>
  <c r="AD23" i="10"/>
  <c r="AF23" i="10" s="1"/>
  <c r="AT36" i="13"/>
  <c r="AN36" i="13"/>
  <c r="AN35" i="15"/>
  <c r="CC35" i="15"/>
  <c r="AD23" i="6"/>
  <c r="AM40" i="13"/>
  <c r="AT40" i="13" s="1"/>
  <c r="Y74" i="7"/>
  <c r="Y73" i="7"/>
  <c r="Y71" i="7"/>
  <c r="Y72" i="7"/>
  <c r="K72" i="7" s="1"/>
  <c r="AU36" i="12"/>
  <c r="AT36" i="11"/>
  <c r="AN36" i="11"/>
  <c r="CC35" i="11"/>
  <c r="CC40" i="11" s="1"/>
  <c r="AK40" i="11"/>
  <c r="AR40" i="11" s="1"/>
  <c r="AF24" i="8"/>
  <c r="Y74" i="15"/>
  <c r="Y71" i="15"/>
  <c r="Y72" i="15"/>
  <c r="K72" i="15" s="1"/>
  <c r="D72" i="15" s="1"/>
  <c r="Y73" i="15"/>
  <c r="K73" i="15" s="1"/>
  <c r="D73" i="15" s="1"/>
  <c r="AD23" i="15"/>
  <c r="K74" i="14"/>
  <c r="Y96" i="14"/>
  <c r="AB23" i="14"/>
  <c r="AD23" i="14" s="1"/>
  <c r="K71" i="14"/>
  <c r="Y37" i="14"/>
  <c r="AL37" i="14" s="1"/>
  <c r="Y93" i="14"/>
  <c r="Y40" i="14" s="1"/>
  <c r="AB25" i="13"/>
  <c r="AD25" i="13" s="1"/>
  <c r="AF25" i="13" s="1"/>
  <c r="K71" i="13"/>
  <c r="Y37" i="13"/>
  <c r="AL37" i="13" s="1"/>
  <c r="Y93" i="13"/>
  <c r="Y40" i="13" s="1"/>
  <c r="K74" i="13"/>
  <c r="Y96" i="13"/>
  <c r="V96" i="13" s="1"/>
  <c r="K71" i="12"/>
  <c r="Y37" i="12"/>
  <c r="AL37" i="12" s="1"/>
  <c r="Y93" i="12"/>
  <c r="Y40" i="12" s="1"/>
  <c r="K74" i="12"/>
  <c r="Y96" i="12"/>
  <c r="AB25" i="12"/>
  <c r="AD25" i="12" s="1"/>
  <c r="AF25" i="12" s="1"/>
  <c r="K74" i="11"/>
  <c r="Y96" i="11"/>
  <c r="V96" i="11" s="1"/>
  <c r="K71" i="11"/>
  <c r="Y93" i="11"/>
  <c r="Y40" i="11" s="1"/>
  <c r="Y37" i="11"/>
  <c r="AL37" i="11" s="1"/>
  <c r="K74" i="10"/>
  <c r="Y96" i="10"/>
  <c r="V96" i="10" s="1"/>
  <c r="AB25" i="10"/>
  <c r="AD25" i="10" s="1"/>
  <c r="AF25" i="10" s="1"/>
  <c r="AF19" i="10"/>
  <c r="K71" i="10"/>
  <c r="Y37" i="10"/>
  <c r="AL37" i="10" s="1"/>
  <c r="Y93" i="10"/>
  <c r="Y40" i="10" s="1"/>
  <c r="AM40" i="9"/>
  <c r="AT40" i="9" s="1"/>
  <c r="AD23" i="9"/>
  <c r="AF23" i="9" s="1"/>
  <c r="AT36" i="10"/>
  <c r="AN36" i="10"/>
  <c r="AF19" i="9"/>
  <c r="AT36" i="8"/>
  <c r="AN36" i="8"/>
  <c r="D35" i="7"/>
  <c r="D24" i="7" s="1"/>
  <c r="AT36" i="7"/>
  <c r="AN36" i="7"/>
  <c r="W40" i="15"/>
  <c r="G40" i="15"/>
  <c r="V96" i="14"/>
  <c r="G40" i="14"/>
  <c r="X40" i="13"/>
  <c r="G40" i="13"/>
  <c r="W96" i="12"/>
  <c r="W40" i="12" s="1"/>
  <c r="X96" i="12"/>
  <c r="W40" i="11"/>
  <c r="V96" i="9"/>
  <c r="V40" i="9" s="1"/>
  <c r="N40" i="9"/>
  <c r="O40" i="9"/>
  <c r="X40" i="7"/>
  <c r="AA24" i="6"/>
  <c r="AD24" i="6" s="1"/>
  <c r="AF24" i="6" s="1"/>
  <c r="K71" i="8"/>
  <c r="Y37" i="8"/>
  <c r="AL37" i="8" s="1"/>
  <c r="Y93" i="8"/>
  <c r="Y40" i="8" s="1"/>
  <c r="K74" i="8"/>
  <c r="Y96" i="8"/>
  <c r="K73" i="7"/>
  <c r="K71" i="6"/>
  <c r="AD37" i="6"/>
  <c r="AM37" i="6" s="1"/>
  <c r="AT37" i="6" s="1"/>
  <c r="AD93" i="6"/>
  <c r="AD40" i="6" s="1"/>
  <c r="K72" i="6"/>
  <c r="AD96" i="6"/>
  <c r="BC38" i="6"/>
  <c r="CA38" i="6"/>
  <c r="N40" i="14"/>
  <c r="O40" i="14"/>
  <c r="N40" i="13"/>
  <c r="O40" i="13"/>
  <c r="N40" i="11"/>
  <c r="O40" i="11"/>
  <c r="O40" i="6"/>
  <c r="N40" i="6"/>
  <c r="BS35" i="14"/>
  <c r="AM40" i="14"/>
  <c r="AT40" i="14" s="1"/>
  <c r="AF109" i="14"/>
  <c r="AN35" i="12"/>
  <c r="AK40" i="12"/>
  <c r="AR40" i="12" s="1"/>
  <c r="BE35" i="11"/>
  <c r="BE40" i="11" s="1"/>
  <c r="CE35" i="10"/>
  <c r="BS35" i="10"/>
  <c r="BS35" i="15"/>
  <c r="BS40" i="15" s="1"/>
  <c r="BS41" i="15" s="1"/>
  <c r="BS42" i="15" s="1"/>
  <c r="BG35" i="15"/>
  <c r="BG40" i="15" s="1"/>
  <c r="BG41" i="15" s="1"/>
  <c r="BG42" i="15" s="1"/>
  <c r="CE35" i="15"/>
  <c r="CE40" i="15" s="1"/>
  <c r="CE41" i="15" s="1"/>
  <c r="CE42" i="15" s="1"/>
  <c r="BG35" i="14"/>
  <c r="BG40" i="14" s="1"/>
  <c r="BG41" i="14" s="1"/>
  <c r="BG42" i="14" s="1"/>
  <c r="AN35" i="14"/>
  <c r="AR35" i="14"/>
  <c r="AK40" i="14"/>
  <c r="AR40" i="14" s="1"/>
  <c r="D35" i="13"/>
  <c r="D24" i="13" s="1"/>
  <c r="AK35" i="13"/>
  <c r="AN35" i="13" s="1"/>
  <c r="R109" i="13"/>
  <c r="BG35" i="13"/>
  <c r="BS35" i="13"/>
  <c r="AM40" i="12"/>
  <c r="AT40" i="12" s="1"/>
  <c r="CE35" i="12"/>
  <c r="CC35" i="12"/>
  <c r="CC40" i="12" s="1"/>
  <c r="BS35" i="12"/>
  <c r="BG40" i="12"/>
  <c r="BG41" i="12" s="1"/>
  <c r="BG42" i="12" s="1"/>
  <c r="AT35" i="11"/>
  <c r="AU35" i="11" s="1"/>
  <c r="AM40" i="11"/>
  <c r="AT40" i="11" s="1"/>
  <c r="AR35" i="10"/>
  <c r="AK40" i="10"/>
  <c r="AR40" i="10" s="1"/>
  <c r="AK35" i="9"/>
  <c r="AK40" i="9" s="1"/>
  <c r="AR40" i="9" s="1"/>
  <c r="R109" i="9"/>
  <c r="R40" i="9" s="1"/>
  <c r="BS35" i="9"/>
  <c r="BS40" i="9" s="1"/>
  <c r="BS41" i="9" s="1"/>
  <c r="BS42" i="9" s="1"/>
  <c r="BG35" i="9"/>
  <c r="BG40" i="9" s="1"/>
  <c r="BG41" i="9" s="1"/>
  <c r="BG42" i="9" s="1"/>
  <c r="CE35" i="9"/>
  <c r="CE40" i="9" s="1"/>
  <c r="CE41" i="9" s="1"/>
  <c r="CE42" i="9" s="1"/>
  <c r="AM35" i="8"/>
  <c r="AM40" i="8" s="1"/>
  <c r="AT40" i="8" s="1"/>
  <c r="AA109" i="8"/>
  <c r="AA40" i="8" s="1"/>
  <c r="AK35" i="8"/>
  <c r="AK40" i="8" s="1"/>
  <c r="AR40" i="8" s="1"/>
  <c r="R109" i="8"/>
  <c r="AF109" i="8" s="1"/>
  <c r="AK35" i="7"/>
  <c r="R109" i="7"/>
  <c r="R40" i="7" s="1"/>
  <c r="AM35" i="7"/>
  <c r="AM40" i="7" s="1"/>
  <c r="AT40" i="7" s="1"/>
  <c r="AA109" i="7"/>
  <c r="AA40" i="7" s="1"/>
  <c r="AK35" i="6"/>
  <c r="AK40" i="6" s="1"/>
  <c r="AR40" i="6" s="1"/>
  <c r="R109" i="6"/>
  <c r="R40" i="6" s="1"/>
  <c r="AM35" i="6"/>
  <c r="AM40" i="6" s="1"/>
  <c r="AT40" i="6" s="1"/>
  <c r="AA109" i="6"/>
  <c r="AA113" i="6" s="1"/>
  <c r="AA114" i="6" s="1"/>
  <c r="AA115" i="6" s="1"/>
  <c r="K23" i="13"/>
  <c r="AF23" i="8"/>
  <c r="K23" i="7"/>
  <c r="K23" i="6"/>
  <c r="AF23" i="6" s="1"/>
  <c r="V96" i="6"/>
  <c r="CE40" i="14"/>
  <c r="CE41" i="14" s="1"/>
  <c r="CE42" i="14" s="1"/>
  <c r="BE40" i="12"/>
  <c r="D35" i="9"/>
  <c r="D24" i="9" s="1"/>
  <c r="AB40" i="7"/>
  <c r="V19" i="15"/>
  <c r="Y19" i="15" s="1"/>
  <c r="AF19" i="15" s="1"/>
  <c r="AF19" i="14"/>
  <c r="AF19" i="12"/>
  <c r="AF23" i="11"/>
  <c r="AA40" i="15"/>
  <c r="CC40" i="15"/>
  <c r="BS40" i="14"/>
  <c r="BS41" i="14" s="1"/>
  <c r="BS42" i="14" s="1"/>
  <c r="AB40" i="14"/>
  <c r="AA40" i="14"/>
  <c r="BC30" i="13"/>
  <c r="BO30" i="13"/>
  <c r="CA30" i="13"/>
  <c r="AU30" i="13"/>
  <c r="BE40" i="15"/>
  <c r="AF23" i="15"/>
  <c r="BQ40" i="15"/>
  <c r="AF17" i="15"/>
  <c r="AD40" i="15"/>
  <c r="AF109" i="15"/>
  <c r="AF23" i="14"/>
  <c r="AD17" i="14"/>
  <c r="AF17" i="14" s="1"/>
  <c r="K19" i="13"/>
  <c r="AF19" i="13" s="1"/>
  <c r="AF17" i="13"/>
  <c r="AD40" i="13"/>
  <c r="D24" i="12"/>
  <c r="BQ40" i="12"/>
  <c r="AF23" i="12"/>
  <c r="AF109" i="12"/>
  <c r="BP40" i="9"/>
  <c r="W40" i="9"/>
  <c r="AB40" i="8"/>
  <c r="AF19" i="8"/>
  <c r="AF19" i="11"/>
  <c r="AF25" i="11"/>
  <c r="AF109" i="11"/>
  <c r="AF17" i="11"/>
  <c r="AD40" i="11"/>
  <c r="AD40" i="10"/>
  <c r="AB40" i="10"/>
  <c r="AA40" i="10"/>
  <c r="AF109" i="10"/>
  <c r="BD40" i="9"/>
  <c r="AD40" i="9"/>
  <c r="CB40" i="9"/>
  <c r="AF25" i="9"/>
  <c r="BC38" i="9"/>
  <c r="AU38" i="9"/>
  <c r="CA38" i="9"/>
  <c r="BO38" i="9"/>
  <c r="AB40" i="9"/>
  <c r="AD40" i="8"/>
  <c r="AF25" i="8"/>
  <c r="AF19" i="7"/>
  <c r="Y23" i="7"/>
  <c r="AD40" i="7"/>
  <c r="AU38" i="6"/>
  <c r="BO38" i="6"/>
  <c r="AF109" i="6"/>
  <c r="AF19" i="6"/>
  <c r="AS37" i="6" l="1"/>
  <c r="AL40" i="6"/>
  <c r="AS40" i="6" s="1"/>
  <c r="BG40" i="13"/>
  <c r="BG41" i="13" s="1"/>
  <c r="BG42" i="13" s="1"/>
  <c r="AS37" i="9"/>
  <c r="AL40" i="9"/>
  <c r="AS40" i="9" s="1"/>
  <c r="BG36" i="13"/>
  <c r="CE36" i="13"/>
  <c r="CE40" i="13" s="1"/>
  <c r="CE41" i="13" s="1"/>
  <c r="CE42" i="13" s="1"/>
  <c r="BS36" i="13"/>
  <c r="BS40" i="13" s="1"/>
  <c r="BS41" i="13" s="1"/>
  <c r="BS42" i="13" s="1"/>
  <c r="AU36" i="13"/>
  <c r="BS40" i="12"/>
  <c r="BS41" i="12" s="1"/>
  <c r="BS42" i="12" s="1"/>
  <c r="K96" i="9"/>
  <c r="D74" i="9"/>
  <c r="K37" i="9"/>
  <c r="AI37" i="9" s="1"/>
  <c r="D71" i="9"/>
  <c r="K93" i="9"/>
  <c r="AN35" i="6"/>
  <c r="CE40" i="12"/>
  <c r="CE41" i="12" s="1"/>
  <c r="CE42" i="12" s="1"/>
  <c r="BG36" i="11"/>
  <c r="BS36" i="11"/>
  <c r="AU36" i="11"/>
  <c r="CE36" i="11"/>
  <c r="AN35" i="9"/>
  <c r="AR35" i="9"/>
  <c r="K71" i="15"/>
  <c r="Y37" i="15"/>
  <c r="AL37" i="15" s="1"/>
  <c r="Y93" i="15"/>
  <c r="Y40" i="15" s="1"/>
  <c r="K74" i="15"/>
  <c r="Y96" i="15"/>
  <c r="V96" i="15" s="1"/>
  <c r="D71" i="14"/>
  <c r="K93" i="14"/>
  <c r="K37" i="14"/>
  <c r="AI37" i="14" s="1"/>
  <c r="AB25" i="14"/>
  <c r="AD25" i="14" s="1"/>
  <c r="AF25" i="14" s="1"/>
  <c r="AS37" i="14"/>
  <c r="AL40" i="14"/>
  <c r="AS40" i="14" s="1"/>
  <c r="K96" i="14"/>
  <c r="D74" i="14"/>
  <c r="AS37" i="13"/>
  <c r="AL40" i="13"/>
  <c r="AS40" i="13" s="1"/>
  <c r="K37" i="13"/>
  <c r="AI37" i="13" s="1"/>
  <c r="K93" i="13"/>
  <c r="D71" i="13"/>
  <c r="K96" i="13"/>
  <c r="D74" i="13"/>
  <c r="AS37" i="12"/>
  <c r="AL40" i="12"/>
  <c r="AS40" i="12" s="1"/>
  <c r="D71" i="12"/>
  <c r="K37" i="12"/>
  <c r="AI37" i="12" s="1"/>
  <c r="K93" i="12"/>
  <c r="D74" i="12"/>
  <c r="D37" i="12" s="1"/>
  <c r="K96" i="12"/>
  <c r="AS37" i="11"/>
  <c r="AL40" i="11"/>
  <c r="AS40" i="11" s="1"/>
  <c r="K93" i="11"/>
  <c r="K37" i="11"/>
  <c r="AI37" i="11" s="1"/>
  <c r="D71" i="11"/>
  <c r="D74" i="11"/>
  <c r="K96" i="11"/>
  <c r="K37" i="10"/>
  <c r="AI37" i="10" s="1"/>
  <c r="K93" i="10"/>
  <c r="D71" i="10"/>
  <c r="K96" i="10"/>
  <c r="D74" i="10"/>
  <c r="AS37" i="10"/>
  <c r="AL40" i="10"/>
  <c r="AS40" i="10" s="1"/>
  <c r="BG36" i="10"/>
  <c r="BG40" i="10" s="1"/>
  <c r="BG41" i="10" s="1"/>
  <c r="BG42" i="10" s="1"/>
  <c r="BS36" i="10"/>
  <c r="BS40" i="10" s="1"/>
  <c r="BS41" i="10" s="1"/>
  <c r="BS42" i="10" s="1"/>
  <c r="CE36" i="10"/>
  <c r="CE40" i="10" s="1"/>
  <c r="CE41" i="10" s="1"/>
  <c r="CE42" i="10" s="1"/>
  <c r="AU36" i="10"/>
  <c r="CE36" i="8"/>
  <c r="BS36" i="8"/>
  <c r="BG36" i="8"/>
  <c r="AU36" i="8"/>
  <c r="D73" i="7"/>
  <c r="D72" i="7"/>
  <c r="AF109" i="7"/>
  <c r="BS36" i="7"/>
  <c r="BG36" i="7"/>
  <c r="AU36" i="7"/>
  <c r="CE36" i="7"/>
  <c r="V40" i="15"/>
  <c r="V40" i="14"/>
  <c r="V40" i="13"/>
  <c r="X40" i="12"/>
  <c r="V96" i="12"/>
  <c r="V40" i="11"/>
  <c r="V40" i="10"/>
  <c r="W40" i="8"/>
  <c r="X40" i="8"/>
  <c r="V96" i="8"/>
  <c r="K96" i="8"/>
  <c r="D74" i="8"/>
  <c r="AS37" i="8"/>
  <c r="AL40" i="8"/>
  <c r="AS40" i="8" s="1"/>
  <c r="D71" i="8"/>
  <c r="K37" i="8"/>
  <c r="AI37" i="8" s="1"/>
  <c r="K93" i="8"/>
  <c r="K71" i="7"/>
  <c r="Y37" i="7"/>
  <c r="AL37" i="7" s="1"/>
  <c r="Y93" i="7"/>
  <c r="Y40" i="7" s="1"/>
  <c r="K74" i="7"/>
  <c r="Y96" i="7"/>
  <c r="V96" i="7" s="1"/>
  <c r="CE37" i="6"/>
  <c r="BS37" i="6"/>
  <c r="BG37" i="6"/>
  <c r="AB96" i="6"/>
  <c r="AB40" i="6" s="1"/>
  <c r="AA96" i="6"/>
  <c r="AA40" i="6" s="1"/>
  <c r="AC96" i="6"/>
  <c r="AC40" i="6" s="1"/>
  <c r="K93" i="6"/>
  <c r="D71" i="6"/>
  <c r="K37" i="6"/>
  <c r="AI37" i="6" s="1"/>
  <c r="D72" i="6"/>
  <c r="K96" i="6"/>
  <c r="AK40" i="13"/>
  <c r="AR40" i="13" s="1"/>
  <c r="AT35" i="8"/>
  <c r="BS35" i="8" s="1"/>
  <c r="AN35" i="8"/>
  <c r="AT35" i="7"/>
  <c r="BG35" i="7" s="1"/>
  <c r="AT35" i="6"/>
  <c r="CE35" i="6" s="1"/>
  <c r="CE40" i="6" s="1"/>
  <c r="CE41" i="6" s="1"/>
  <c r="CE42" i="6" s="1"/>
  <c r="BE35" i="14"/>
  <c r="BE40" i="14" s="1"/>
  <c r="CC35" i="14"/>
  <c r="CC40" i="14" s="1"/>
  <c r="BQ35" i="14"/>
  <c r="BQ40" i="14" s="1"/>
  <c r="AU35" i="14"/>
  <c r="AR35" i="13"/>
  <c r="CC35" i="13" s="1"/>
  <c r="CC40" i="13" s="1"/>
  <c r="R40" i="13"/>
  <c r="AF109" i="13"/>
  <c r="CE35" i="11"/>
  <c r="CE40" i="11" s="1"/>
  <c r="CE41" i="11" s="1"/>
  <c r="CE42" i="11" s="1"/>
  <c r="BG35" i="11"/>
  <c r="BS35" i="11"/>
  <c r="BS40" i="11" s="1"/>
  <c r="BS41" i="11" s="1"/>
  <c r="BS42" i="11" s="1"/>
  <c r="BQ35" i="10"/>
  <c r="BQ40" i="10" s="1"/>
  <c r="CC35" i="10"/>
  <c r="CC40" i="10" s="1"/>
  <c r="BE35" i="10"/>
  <c r="BE40" i="10" s="1"/>
  <c r="AU35" i="10"/>
  <c r="AF109" i="9"/>
  <c r="AR35" i="8"/>
  <c r="BQ35" i="8" s="1"/>
  <c r="BQ40" i="8" s="1"/>
  <c r="R40" i="8"/>
  <c r="AN35" i="7"/>
  <c r="AR35" i="7"/>
  <c r="AK40" i="7"/>
  <c r="AR40" i="7" s="1"/>
  <c r="AR35" i="6"/>
  <c r="CC35" i="6" s="1"/>
  <c r="CC40" i="6" s="1"/>
  <c r="AF23" i="13"/>
  <c r="V40" i="6"/>
  <c r="BG35" i="6"/>
  <c r="AF24" i="14"/>
  <c r="AD40" i="14"/>
  <c r="BQ35" i="13"/>
  <c r="BQ40" i="13" s="1"/>
  <c r="AF23" i="7"/>
  <c r="CC35" i="9"/>
  <c r="CC40" i="9" s="1"/>
  <c r="BQ35" i="9"/>
  <c r="BQ40" i="9" s="1"/>
  <c r="BE35" i="9"/>
  <c r="BE40" i="9" s="1"/>
  <c r="AU35" i="9"/>
  <c r="BG40" i="7" l="1"/>
  <c r="BG41" i="7" s="1"/>
  <c r="BG42" i="7" s="1"/>
  <c r="D37" i="14"/>
  <c r="CD37" i="9"/>
  <c r="CD40" i="9" s="1"/>
  <c r="CD41" i="9" s="1"/>
  <c r="CD42" i="9" s="1"/>
  <c r="BR37" i="9"/>
  <c r="BR40" i="9" s="1"/>
  <c r="BR41" i="9" s="1"/>
  <c r="BR42" i="9" s="1"/>
  <c r="BF37" i="9"/>
  <c r="BF40" i="9" s="1"/>
  <c r="BF41" i="9" s="1"/>
  <c r="BF42" i="9" s="1"/>
  <c r="AP37" i="9"/>
  <c r="AI40" i="9"/>
  <c r="AP40" i="9" s="1"/>
  <c r="AN37" i="9"/>
  <c r="BG40" i="11"/>
  <c r="BG41" i="11" s="1"/>
  <c r="BG42" i="11" s="1"/>
  <c r="J96" i="9"/>
  <c r="J40" i="9" s="1"/>
  <c r="D96" i="9"/>
  <c r="AF96" i="9"/>
  <c r="AN40" i="9"/>
  <c r="AU40" i="9" s="1"/>
  <c r="K40" i="9"/>
  <c r="D93" i="9"/>
  <c r="CD37" i="6"/>
  <c r="CD40" i="6" s="1"/>
  <c r="CD41" i="6" s="1"/>
  <c r="CD42" i="6" s="1"/>
  <c r="BF37" i="6"/>
  <c r="BF40" i="6" s="1"/>
  <c r="BF41" i="6" s="1"/>
  <c r="BF42" i="6" s="1"/>
  <c r="BR37" i="6"/>
  <c r="BR40" i="6" s="1"/>
  <c r="BR41" i="6" s="1"/>
  <c r="BR42" i="6" s="1"/>
  <c r="D37" i="9"/>
  <c r="D37" i="11"/>
  <c r="D23" i="11" s="1"/>
  <c r="D37" i="10"/>
  <c r="D40" i="10" s="1"/>
  <c r="D74" i="15"/>
  <c r="K96" i="15"/>
  <c r="AS37" i="15"/>
  <c r="AL40" i="15"/>
  <c r="AS40" i="15" s="1"/>
  <c r="K37" i="15"/>
  <c r="AI37" i="15" s="1"/>
  <c r="K93" i="15"/>
  <c r="D71" i="15"/>
  <c r="D37" i="15" s="1"/>
  <c r="D96" i="14"/>
  <c r="J96" i="14"/>
  <c r="J40" i="14" s="1"/>
  <c r="AF96" i="14"/>
  <c r="AN37" i="14"/>
  <c r="AN40" i="14" s="1"/>
  <c r="AU40" i="14" s="1"/>
  <c r="AP37" i="14"/>
  <c r="AI40" i="14"/>
  <c r="AP40" i="14" s="1"/>
  <c r="CD37" i="14"/>
  <c r="CD40" i="14" s="1"/>
  <c r="CD41" i="14" s="1"/>
  <c r="CD42" i="14" s="1"/>
  <c r="BR37" i="14"/>
  <c r="BR40" i="14" s="1"/>
  <c r="BR41" i="14" s="1"/>
  <c r="BR42" i="14" s="1"/>
  <c r="BF37" i="14"/>
  <c r="BF40" i="14" s="1"/>
  <c r="BF41" i="14" s="1"/>
  <c r="BF42" i="14" s="1"/>
  <c r="K40" i="14"/>
  <c r="D93" i="14"/>
  <c r="D23" i="14"/>
  <c r="D40" i="14"/>
  <c r="AN37" i="13"/>
  <c r="AN40" i="13" s="1"/>
  <c r="AU40" i="13" s="1"/>
  <c r="AP37" i="13"/>
  <c r="AI40" i="13"/>
  <c r="AP40" i="13" s="1"/>
  <c r="D96" i="13"/>
  <c r="AF96" i="13"/>
  <c r="J96" i="13"/>
  <c r="J40" i="13" s="1"/>
  <c r="D37" i="13"/>
  <c r="K40" i="13"/>
  <c r="D93" i="13"/>
  <c r="BF37" i="13"/>
  <c r="BF40" i="13" s="1"/>
  <c r="BF41" i="13" s="1"/>
  <c r="BF42" i="13" s="1"/>
  <c r="CD37" i="13"/>
  <c r="CD40" i="13" s="1"/>
  <c r="CD41" i="13" s="1"/>
  <c r="CD42" i="13" s="1"/>
  <c r="BR37" i="13"/>
  <c r="BR40" i="13" s="1"/>
  <c r="BR41" i="13" s="1"/>
  <c r="BR42" i="13" s="1"/>
  <c r="AF96" i="12"/>
  <c r="J96" i="12"/>
  <c r="J40" i="12" s="1"/>
  <c r="D96" i="12"/>
  <c r="D23" i="12"/>
  <c r="D40" i="12"/>
  <c r="K40" i="12"/>
  <c r="D93" i="12"/>
  <c r="AP37" i="12"/>
  <c r="AI40" i="12"/>
  <c r="AP40" i="12" s="1"/>
  <c r="AN37" i="12"/>
  <c r="AN40" i="12" s="1"/>
  <c r="AU40" i="12" s="1"/>
  <c r="CD37" i="12"/>
  <c r="CD40" i="12" s="1"/>
  <c r="CD41" i="12" s="1"/>
  <c r="CD42" i="12" s="1"/>
  <c r="BR37" i="12"/>
  <c r="BR40" i="12" s="1"/>
  <c r="BR41" i="12" s="1"/>
  <c r="BR42" i="12" s="1"/>
  <c r="BF37" i="12"/>
  <c r="BF40" i="12" s="1"/>
  <c r="BF41" i="12" s="1"/>
  <c r="BF42" i="12" s="1"/>
  <c r="BF37" i="11"/>
  <c r="BF40" i="11" s="1"/>
  <c r="BF41" i="11" s="1"/>
  <c r="BF42" i="11" s="1"/>
  <c r="CD37" i="11"/>
  <c r="CD40" i="11" s="1"/>
  <c r="CD41" i="11" s="1"/>
  <c r="CD42" i="11" s="1"/>
  <c r="BR37" i="11"/>
  <c r="BR40" i="11" s="1"/>
  <c r="BR41" i="11" s="1"/>
  <c r="BR42" i="11" s="1"/>
  <c r="AP37" i="11"/>
  <c r="AN37" i="11"/>
  <c r="AN40" i="11" s="1"/>
  <c r="AU40" i="11" s="1"/>
  <c r="AI40" i="11"/>
  <c r="AP40" i="11" s="1"/>
  <c r="D96" i="11"/>
  <c r="AF96" i="11"/>
  <c r="J96" i="11"/>
  <c r="J40" i="11" s="1"/>
  <c r="K40" i="11"/>
  <c r="D93" i="11"/>
  <c r="BR37" i="10"/>
  <c r="BR40" i="10" s="1"/>
  <c r="BR41" i="10" s="1"/>
  <c r="BR42" i="10" s="1"/>
  <c r="BF37" i="10"/>
  <c r="BF40" i="10" s="1"/>
  <c r="BF41" i="10" s="1"/>
  <c r="BF42" i="10" s="1"/>
  <c r="CD37" i="10"/>
  <c r="CD40" i="10" s="1"/>
  <c r="CD41" i="10" s="1"/>
  <c r="CD42" i="10" s="1"/>
  <c r="K40" i="10"/>
  <c r="D93" i="10"/>
  <c r="AF96" i="10"/>
  <c r="D96" i="10"/>
  <c r="J96" i="10"/>
  <c r="J40" i="10" s="1"/>
  <c r="AN37" i="10"/>
  <c r="AN40" i="10" s="1"/>
  <c r="AU40" i="10" s="1"/>
  <c r="AP37" i="10"/>
  <c r="AI40" i="10"/>
  <c r="AP40" i="10" s="1"/>
  <c r="BS40" i="8"/>
  <c r="BS41" i="8" s="1"/>
  <c r="BS42" i="8" s="1"/>
  <c r="BE35" i="8"/>
  <c r="BE40" i="8" s="1"/>
  <c r="AU35" i="8"/>
  <c r="D37" i="8"/>
  <c r="D23" i="8" s="1"/>
  <c r="BG35" i="8"/>
  <c r="BG40" i="8" s="1"/>
  <c r="BG41" i="8" s="1"/>
  <c r="BG42" i="8" s="1"/>
  <c r="CE35" i="8"/>
  <c r="CE40" i="8" s="1"/>
  <c r="CE41" i="8" s="1"/>
  <c r="CE42" i="8" s="1"/>
  <c r="BS35" i="7"/>
  <c r="BS40" i="7" s="1"/>
  <c r="BS41" i="7" s="1"/>
  <c r="BS42" i="7" s="1"/>
  <c r="CE35" i="7"/>
  <c r="CE40" i="7" s="1"/>
  <c r="CE41" i="7" s="1"/>
  <c r="CE42" i="7" s="1"/>
  <c r="AU35" i="7"/>
  <c r="V40" i="12"/>
  <c r="V40" i="8"/>
  <c r="V40" i="7"/>
  <c r="K40" i="8"/>
  <c r="D93" i="8"/>
  <c r="CD37" i="8"/>
  <c r="CD40" i="8" s="1"/>
  <c r="CD41" i="8" s="1"/>
  <c r="CD42" i="8" s="1"/>
  <c r="BR37" i="8"/>
  <c r="BR40" i="8" s="1"/>
  <c r="BR41" i="8" s="1"/>
  <c r="BR42" i="8" s="1"/>
  <c r="BF37" i="8"/>
  <c r="BF40" i="8" s="1"/>
  <c r="BF41" i="8" s="1"/>
  <c r="BF42" i="8" s="1"/>
  <c r="AP37" i="8"/>
  <c r="AI40" i="8"/>
  <c r="AP40" i="8" s="1"/>
  <c r="AN37" i="8"/>
  <c r="AN40" i="8" s="1"/>
  <c r="AU40" i="8" s="1"/>
  <c r="D40" i="8"/>
  <c r="D96" i="8"/>
  <c r="AF96" i="8"/>
  <c r="J96" i="8"/>
  <c r="J40" i="8" s="1"/>
  <c r="D74" i="7"/>
  <c r="K96" i="7"/>
  <c r="AS37" i="7"/>
  <c r="AL40" i="7"/>
  <c r="AS40" i="7" s="1"/>
  <c r="K37" i="7"/>
  <c r="AI37" i="7" s="1"/>
  <c r="D71" i="7"/>
  <c r="D37" i="7" s="1"/>
  <c r="K93" i="7"/>
  <c r="BG40" i="6"/>
  <c r="BG41" i="6" s="1"/>
  <c r="BG42" i="6" s="1"/>
  <c r="D37" i="6"/>
  <c r="D40" i="6" s="1"/>
  <c r="AP37" i="6"/>
  <c r="AI40" i="6"/>
  <c r="AP40" i="6" s="1"/>
  <c r="AN37" i="6"/>
  <c r="AN40" i="6" s="1"/>
  <c r="AU40" i="6" s="1"/>
  <c r="K40" i="6"/>
  <c r="D93" i="6"/>
  <c r="G96" i="6"/>
  <c r="G40" i="6" s="1"/>
  <c r="J96" i="6"/>
  <c r="J40" i="6" s="1"/>
  <c r="H96" i="6"/>
  <c r="H40" i="6" s="1"/>
  <c r="AF96" i="6"/>
  <c r="D96" i="6"/>
  <c r="AU35" i="13"/>
  <c r="CC35" i="8"/>
  <c r="CC40" i="8" s="1"/>
  <c r="BS35" i="6"/>
  <c r="BS40" i="6" s="1"/>
  <c r="BS41" i="6" s="1"/>
  <c r="BS42" i="6" s="1"/>
  <c r="BQ35" i="6"/>
  <c r="BQ40" i="6" s="1"/>
  <c r="BE35" i="13"/>
  <c r="BE40" i="13" s="1"/>
  <c r="BQ35" i="7"/>
  <c r="BQ40" i="7" s="1"/>
  <c r="CC35" i="7"/>
  <c r="CC40" i="7" s="1"/>
  <c r="BE35" i="7"/>
  <c r="BE40" i="7" s="1"/>
  <c r="BE35" i="6"/>
  <c r="BE40" i="6" s="1"/>
  <c r="AU35" i="6"/>
  <c r="P65" i="4"/>
  <c r="AD65" i="4"/>
  <c r="BO37" i="9" l="1"/>
  <c r="BO40" i="9" s="1"/>
  <c r="BO41" i="9" s="1"/>
  <c r="BO42" i="9" s="1"/>
  <c r="BC37" i="9"/>
  <c r="BC40" i="9" s="1"/>
  <c r="BC41" i="9" s="1"/>
  <c r="BC42" i="9" s="1"/>
  <c r="CA37" i="9"/>
  <c r="CA40" i="9" s="1"/>
  <c r="CA41" i="9" s="1"/>
  <c r="CA42" i="9" s="1"/>
  <c r="AU37" i="9"/>
  <c r="D40" i="11"/>
  <c r="D23" i="9"/>
  <c r="D40" i="9"/>
  <c r="D23" i="10"/>
  <c r="D23" i="15"/>
  <c r="D40" i="15"/>
  <c r="BF37" i="15"/>
  <c r="BF40" i="15" s="1"/>
  <c r="BF41" i="15" s="1"/>
  <c r="BF42" i="15" s="1"/>
  <c r="CD37" i="15"/>
  <c r="CD40" i="15" s="1"/>
  <c r="CD41" i="15" s="1"/>
  <c r="CD42" i="15" s="1"/>
  <c r="BR37" i="15"/>
  <c r="BR40" i="15" s="1"/>
  <c r="BR41" i="15" s="1"/>
  <c r="BR42" i="15" s="1"/>
  <c r="K40" i="15"/>
  <c r="D93" i="15"/>
  <c r="D96" i="15"/>
  <c r="AF96" i="15"/>
  <c r="J96" i="15"/>
  <c r="J40" i="15" s="1"/>
  <c r="AN37" i="15"/>
  <c r="AN40" i="15" s="1"/>
  <c r="AU40" i="15" s="1"/>
  <c r="AP37" i="15"/>
  <c r="AI40" i="15"/>
  <c r="AP40" i="15" s="1"/>
  <c r="BO37" i="14"/>
  <c r="BO40" i="14" s="1"/>
  <c r="BO41" i="14" s="1"/>
  <c r="BO42" i="14" s="1"/>
  <c r="BC37" i="14"/>
  <c r="BC40" i="14" s="1"/>
  <c r="BC41" i="14" s="1"/>
  <c r="BC42" i="14" s="1"/>
  <c r="AU37" i="14"/>
  <c r="CA37" i="14"/>
  <c r="CA40" i="14" s="1"/>
  <c r="CA41" i="14" s="1"/>
  <c r="CA42" i="14" s="1"/>
  <c r="D23" i="13"/>
  <c r="D40" i="13"/>
  <c r="AU37" i="13"/>
  <c r="CA37" i="13"/>
  <c r="CA40" i="13" s="1"/>
  <c r="CA41" i="13" s="1"/>
  <c r="CA42" i="13" s="1"/>
  <c r="BO37" i="13"/>
  <c r="BO40" i="13" s="1"/>
  <c r="BO41" i="13" s="1"/>
  <c r="BO42" i="13" s="1"/>
  <c r="BC37" i="13"/>
  <c r="BC40" i="13" s="1"/>
  <c r="BC41" i="13" s="1"/>
  <c r="BC42" i="13" s="1"/>
  <c r="AU37" i="12"/>
  <c r="CA37" i="12"/>
  <c r="CA40" i="12" s="1"/>
  <c r="CA41" i="12" s="1"/>
  <c r="CA42" i="12" s="1"/>
  <c r="BO37" i="12"/>
  <c r="BO40" i="12" s="1"/>
  <c r="BO41" i="12" s="1"/>
  <c r="BO42" i="12" s="1"/>
  <c r="BC37" i="12"/>
  <c r="BC40" i="12" s="1"/>
  <c r="BC41" i="12" s="1"/>
  <c r="BC42" i="12" s="1"/>
  <c r="BO37" i="11"/>
  <c r="BO40" i="11" s="1"/>
  <c r="BO41" i="11" s="1"/>
  <c r="BO42" i="11" s="1"/>
  <c r="AU37" i="11"/>
  <c r="CA37" i="11"/>
  <c r="CA40" i="11" s="1"/>
  <c r="CA41" i="11" s="1"/>
  <c r="CA42" i="11" s="1"/>
  <c r="BC37" i="11"/>
  <c r="BC40" i="11" s="1"/>
  <c r="BC41" i="11" s="1"/>
  <c r="BC42" i="11" s="1"/>
  <c r="AU37" i="10"/>
  <c r="CA37" i="10"/>
  <c r="CA40" i="10" s="1"/>
  <c r="CA41" i="10" s="1"/>
  <c r="CA42" i="10" s="1"/>
  <c r="BO37" i="10"/>
  <c r="BO40" i="10" s="1"/>
  <c r="BO41" i="10" s="1"/>
  <c r="BO42" i="10" s="1"/>
  <c r="BC37" i="10"/>
  <c r="BC40" i="10" s="1"/>
  <c r="BC41" i="10" s="1"/>
  <c r="BC42" i="10" s="1"/>
  <c r="CA37" i="8"/>
  <c r="CA40" i="8" s="1"/>
  <c r="CA41" i="8" s="1"/>
  <c r="CA42" i="8" s="1"/>
  <c r="BO37" i="8"/>
  <c r="BO40" i="8" s="1"/>
  <c r="BO41" i="8" s="1"/>
  <c r="BO42" i="8" s="1"/>
  <c r="BC37" i="8"/>
  <c r="BC40" i="8" s="1"/>
  <c r="BC41" i="8" s="1"/>
  <c r="BC42" i="8" s="1"/>
  <c r="AU37" i="8"/>
  <c r="K40" i="7"/>
  <c r="D93" i="7"/>
  <c r="CD37" i="7"/>
  <c r="CD40" i="7" s="1"/>
  <c r="CD41" i="7" s="1"/>
  <c r="CD42" i="7" s="1"/>
  <c r="BR37" i="7"/>
  <c r="BR40" i="7" s="1"/>
  <c r="BR41" i="7" s="1"/>
  <c r="BR42" i="7" s="1"/>
  <c r="BF37" i="7"/>
  <c r="BF40" i="7" s="1"/>
  <c r="BF41" i="7" s="1"/>
  <c r="BF42" i="7" s="1"/>
  <c r="D23" i="7"/>
  <c r="D40" i="7"/>
  <c r="AF40" i="7" s="1"/>
  <c r="AP37" i="7"/>
  <c r="AI40" i="7"/>
  <c r="AP40" i="7" s="1"/>
  <c r="AN37" i="7"/>
  <c r="AN40" i="7" s="1"/>
  <c r="AU40" i="7" s="1"/>
  <c r="D96" i="7"/>
  <c r="AF96" i="7"/>
  <c r="J96" i="7"/>
  <c r="J40" i="7" s="1"/>
  <c r="D23" i="6"/>
  <c r="CA37" i="6"/>
  <c r="CA40" i="6" s="1"/>
  <c r="CA41" i="6" s="1"/>
  <c r="CA42" i="6" s="1"/>
  <c r="AU37" i="6"/>
  <c r="BC37" i="6"/>
  <c r="BC40" i="6" s="1"/>
  <c r="BC41" i="6" s="1"/>
  <c r="BC42" i="6" s="1"/>
  <c r="BO37" i="6"/>
  <c r="BO40" i="6" s="1"/>
  <c r="BO41" i="6" s="1"/>
  <c r="BO42" i="6" s="1"/>
  <c r="AD64" i="4"/>
  <c r="Y64" i="4"/>
  <c r="K77" i="5"/>
  <c r="BC37" i="15" l="1"/>
  <c r="BC40" i="15" s="1"/>
  <c r="BC41" i="15" s="1"/>
  <c r="BC42" i="15" s="1"/>
  <c r="CA37" i="15"/>
  <c r="CA40" i="15" s="1"/>
  <c r="CA41" i="15" s="1"/>
  <c r="CA42" i="15" s="1"/>
  <c r="AU37" i="15"/>
  <c r="BO37" i="15"/>
  <c r="BO40" i="15" s="1"/>
  <c r="BO41" i="15" s="1"/>
  <c r="BO42" i="15" s="1"/>
  <c r="CA37" i="7"/>
  <c r="CA40" i="7" s="1"/>
  <c r="CA41" i="7" s="1"/>
  <c r="CA42" i="7" s="1"/>
  <c r="BO37" i="7"/>
  <c r="BO40" i="7" s="1"/>
  <c r="BO41" i="7" s="1"/>
  <c r="BO42" i="7" s="1"/>
  <c r="BC37" i="7"/>
  <c r="BC40" i="7" s="1"/>
  <c r="BC41" i="7" s="1"/>
  <c r="BC42" i="7" s="1"/>
  <c r="AU37" i="7"/>
  <c r="K111" i="5"/>
  <c r="D111" i="5" s="1"/>
  <c r="K39" i="5"/>
  <c r="C69" i="5"/>
  <c r="C27" i="5" s="1"/>
  <c r="AD110" i="5"/>
  <c r="Y110" i="5"/>
  <c r="R110" i="5"/>
  <c r="C110" i="5"/>
  <c r="AD108" i="5"/>
  <c r="AC108" i="5" s="1"/>
  <c r="Y108" i="5"/>
  <c r="X108" i="5" s="1"/>
  <c r="W108" i="5"/>
  <c r="R108" i="5"/>
  <c r="P108" i="5"/>
  <c r="C108" i="5"/>
  <c r="Y107" i="5"/>
  <c r="R107" i="5"/>
  <c r="K107" i="5"/>
  <c r="C107" i="5"/>
  <c r="AF106" i="5"/>
  <c r="AF105" i="5"/>
  <c r="R104" i="5"/>
  <c r="C104" i="5"/>
  <c r="R103" i="5"/>
  <c r="C103" i="5"/>
  <c r="R102" i="5"/>
  <c r="C102" i="5"/>
  <c r="R101" i="5"/>
  <c r="R100" i="5"/>
  <c r="C100" i="5"/>
  <c r="R99" i="5"/>
  <c r="AF98" i="5"/>
  <c r="AF97" i="5"/>
  <c r="R96" i="5"/>
  <c r="R95" i="5"/>
  <c r="C95" i="5"/>
  <c r="AD92" i="5"/>
  <c r="Y92" i="5"/>
  <c r="Y29" i="5" s="1"/>
  <c r="P92" i="5"/>
  <c r="K92" i="5"/>
  <c r="K29" i="5" s="1"/>
  <c r="AD90" i="5"/>
  <c r="Y90" i="5"/>
  <c r="P90" i="5"/>
  <c r="K90" i="5"/>
  <c r="AD89" i="5"/>
  <c r="Y89" i="5"/>
  <c r="P89" i="5"/>
  <c r="K89" i="5"/>
  <c r="AD88" i="5"/>
  <c r="Y88" i="5"/>
  <c r="P88" i="5"/>
  <c r="K88" i="5"/>
  <c r="AD87" i="5"/>
  <c r="Y87" i="5"/>
  <c r="P87" i="5"/>
  <c r="K87" i="5"/>
  <c r="AD86" i="5"/>
  <c r="Y86" i="5"/>
  <c r="P86" i="5"/>
  <c r="K86" i="5"/>
  <c r="AD85" i="5"/>
  <c r="Y85" i="5"/>
  <c r="P85" i="5"/>
  <c r="K85" i="5"/>
  <c r="AD84" i="5"/>
  <c r="Y84" i="5"/>
  <c r="P84" i="5"/>
  <c r="K84" i="5"/>
  <c r="Y83" i="5"/>
  <c r="P83" i="5"/>
  <c r="K83" i="5"/>
  <c r="AD82" i="5"/>
  <c r="Y82" i="5"/>
  <c r="P82" i="5"/>
  <c r="AD81" i="5"/>
  <c r="Y81" i="5"/>
  <c r="P81" i="5"/>
  <c r="K81" i="5"/>
  <c r="D81" i="5" s="1"/>
  <c r="D78" i="5"/>
  <c r="D77" i="5"/>
  <c r="Y76" i="5"/>
  <c r="P76" i="5"/>
  <c r="K76" i="5"/>
  <c r="Y75" i="5"/>
  <c r="T75" i="5"/>
  <c r="P75" i="5"/>
  <c r="K75" i="5"/>
  <c r="P96" i="5"/>
  <c r="AD72" i="5"/>
  <c r="Y70" i="5"/>
  <c r="AD69" i="5"/>
  <c r="Y69" i="5"/>
  <c r="Y99" i="5" s="1"/>
  <c r="P69" i="5"/>
  <c r="K69" i="5"/>
  <c r="AD68" i="5"/>
  <c r="Y68" i="5"/>
  <c r="P68" i="5"/>
  <c r="K68" i="5"/>
  <c r="K102" i="5" s="1"/>
  <c r="AD67" i="5"/>
  <c r="Y67" i="5"/>
  <c r="P67" i="5"/>
  <c r="K67" i="5"/>
  <c r="Y66" i="5"/>
  <c r="P66" i="5"/>
  <c r="K66" i="5"/>
  <c r="AD107" i="5"/>
  <c r="AC107" i="5" s="1"/>
  <c r="P107" i="5"/>
  <c r="AD64" i="5"/>
  <c r="AD99" i="5" s="1"/>
  <c r="AC99" i="5" s="1"/>
  <c r="K99" i="5"/>
  <c r="AD63" i="5"/>
  <c r="AD100" i="5" s="1"/>
  <c r="AC100" i="5" s="1"/>
  <c r="Y63" i="5"/>
  <c r="Y100" i="5" s="1"/>
  <c r="P63" i="5"/>
  <c r="P100" i="5" s="1"/>
  <c r="K63" i="5"/>
  <c r="K100" i="5" s="1"/>
  <c r="AD62" i="5"/>
  <c r="Y62" i="5"/>
  <c r="P62" i="5"/>
  <c r="K62" i="5"/>
  <c r="AD61" i="5"/>
  <c r="Y61" i="5"/>
  <c r="P61" i="5"/>
  <c r="K61" i="5"/>
  <c r="AD60" i="5"/>
  <c r="Y60" i="5"/>
  <c r="P60" i="5"/>
  <c r="K60" i="5"/>
  <c r="D60" i="5" s="1"/>
  <c r="AD59" i="5"/>
  <c r="Y59" i="5"/>
  <c r="P59" i="5"/>
  <c r="K59" i="5"/>
  <c r="D59" i="5" s="1"/>
  <c r="AD58" i="5"/>
  <c r="Y58" i="5"/>
  <c r="P58" i="5"/>
  <c r="K58" i="5"/>
  <c r="AD57" i="5"/>
  <c r="Y57" i="5"/>
  <c r="P57" i="5"/>
  <c r="K57" i="5"/>
  <c r="AD56" i="5"/>
  <c r="Y56" i="5"/>
  <c r="P56" i="5"/>
  <c r="K56" i="5"/>
  <c r="AD55" i="5"/>
  <c r="Y55" i="5"/>
  <c r="P55" i="5"/>
  <c r="K55" i="5"/>
  <c r="D55" i="5" s="1"/>
  <c r="D54" i="5"/>
  <c r="D30" i="5" s="1"/>
  <c r="AD53" i="5"/>
  <c r="Y103" i="5"/>
  <c r="V103" i="5" s="1"/>
  <c r="P103" i="5"/>
  <c r="K103" i="5"/>
  <c r="Y52" i="5"/>
  <c r="P52" i="5"/>
  <c r="K52" i="5"/>
  <c r="AD51" i="5"/>
  <c r="Y51" i="5"/>
  <c r="P51" i="5"/>
  <c r="K51" i="5"/>
  <c r="P50" i="5"/>
  <c r="K50" i="5"/>
  <c r="K49" i="5"/>
  <c r="Y48" i="5"/>
  <c r="P48" i="5"/>
  <c r="P35" i="5" s="1"/>
  <c r="AJ35" i="5" s="1"/>
  <c r="AQ35" i="5" s="1"/>
  <c r="K48" i="5"/>
  <c r="C48" i="5"/>
  <c r="AD47" i="5"/>
  <c r="Y47" i="5"/>
  <c r="P47" i="5"/>
  <c r="P33" i="5" s="1"/>
  <c r="AJ33" i="5" s="1"/>
  <c r="AQ33" i="5" s="1"/>
  <c r="K47" i="5"/>
  <c r="AD46" i="5"/>
  <c r="AD32" i="5" s="1"/>
  <c r="AM32" i="5" s="1"/>
  <c r="AT32" i="5" s="1"/>
  <c r="Y46" i="5"/>
  <c r="Y32" i="5" s="1"/>
  <c r="AL32" i="5" s="1"/>
  <c r="AS32" i="5" s="1"/>
  <c r="P46" i="5"/>
  <c r="K46" i="5"/>
  <c r="AD45" i="5"/>
  <c r="Y45" i="5"/>
  <c r="P45" i="5"/>
  <c r="K45" i="5"/>
  <c r="AH39" i="5"/>
  <c r="AM39" i="5"/>
  <c r="AT39" i="5" s="1"/>
  <c r="AL39" i="5"/>
  <c r="AS39" i="5" s="1"/>
  <c r="AK39" i="5"/>
  <c r="AR39" i="5" s="1"/>
  <c r="AJ39" i="5"/>
  <c r="AQ39" i="5" s="1"/>
  <c r="O39" i="5"/>
  <c r="N39" i="5"/>
  <c r="M39" i="5"/>
  <c r="AI39" i="5"/>
  <c r="J39" i="5"/>
  <c r="I39" i="5"/>
  <c r="H39" i="5"/>
  <c r="G39" i="5"/>
  <c r="F39" i="5"/>
  <c r="AH38" i="5"/>
  <c r="AD38" i="5"/>
  <c r="AM38" i="5" s="1"/>
  <c r="AT38" i="5" s="1"/>
  <c r="AC38" i="5"/>
  <c r="AB38" i="5"/>
  <c r="AA38" i="5"/>
  <c r="X38" i="5"/>
  <c r="W38" i="5"/>
  <c r="V38" i="5"/>
  <c r="T38" i="5"/>
  <c r="AK38" i="5" s="1"/>
  <c r="AR38" i="5" s="1"/>
  <c r="O38" i="5"/>
  <c r="N38" i="5"/>
  <c r="M38" i="5"/>
  <c r="J38" i="5"/>
  <c r="I38" i="5"/>
  <c r="H38" i="5"/>
  <c r="G38" i="5"/>
  <c r="F38" i="5"/>
  <c r="C38" i="5"/>
  <c r="AH37" i="5"/>
  <c r="AC37" i="5"/>
  <c r="AB37" i="5"/>
  <c r="AA37" i="5"/>
  <c r="X37" i="5"/>
  <c r="W37" i="5"/>
  <c r="V37" i="5"/>
  <c r="T37" i="5"/>
  <c r="AK37" i="5" s="1"/>
  <c r="AR37" i="5" s="1"/>
  <c r="P37" i="5"/>
  <c r="AJ37" i="5" s="1"/>
  <c r="AQ37" i="5" s="1"/>
  <c r="O37" i="5"/>
  <c r="N37" i="5"/>
  <c r="M37" i="5"/>
  <c r="J37" i="5"/>
  <c r="I37" i="5"/>
  <c r="H37" i="5"/>
  <c r="G37" i="5"/>
  <c r="F37" i="5"/>
  <c r="C37" i="5"/>
  <c r="AH36" i="5"/>
  <c r="AK36" i="5"/>
  <c r="AR36" i="5" s="1"/>
  <c r="C25" i="5"/>
  <c r="AH35" i="5"/>
  <c r="AC35" i="5"/>
  <c r="AB35" i="5"/>
  <c r="AA35" i="5"/>
  <c r="Y35" i="5"/>
  <c r="AL35" i="5" s="1"/>
  <c r="AS35" i="5" s="1"/>
  <c r="X35" i="5"/>
  <c r="W35" i="5"/>
  <c r="V35" i="5"/>
  <c r="O35" i="5"/>
  <c r="N35" i="5"/>
  <c r="M35" i="5"/>
  <c r="K35" i="5"/>
  <c r="AI35" i="5" s="1"/>
  <c r="J35" i="5"/>
  <c r="I35" i="5"/>
  <c r="H35" i="5"/>
  <c r="G35" i="5"/>
  <c r="F35" i="5"/>
  <c r="AH34" i="5"/>
  <c r="AD34" i="5"/>
  <c r="AM34" i="5" s="1"/>
  <c r="AT34" i="5" s="1"/>
  <c r="AC34" i="5"/>
  <c r="AB34" i="5"/>
  <c r="AA34" i="5"/>
  <c r="Y34" i="5"/>
  <c r="AL34" i="5" s="1"/>
  <c r="AS34" i="5" s="1"/>
  <c r="X34" i="5"/>
  <c r="W34" i="5"/>
  <c r="V34" i="5"/>
  <c r="T34" i="5"/>
  <c r="AK34" i="5" s="1"/>
  <c r="AR34" i="5" s="1"/>
  <c r="P34" i="5"/>
  <c r="AJ34" i="5" s="1"/>
  <c r="AQ34" i="5" s="1"/>
  <c r="O34" i="5"/>
  <c r="N34" i="5"/>
  <c r="M34" i="5"/>
  <c r="K34" i="5"/>
  <c r="AI34" i="5" s="1"/>
  <c r="AP34" i="5" s="1"/>
  <c r="J34" i="5"/>
  <c r="I34" i="5"/>
  <c r="H34" i="5"/>
  <c r="G34" i="5"/>
  <c r="F34" i="5"/>
  <c r="C34" i="5"/>
  <c r="AH33" i="5"/>
  <c r="AD33" i="5"/>
  <c r="AM33" i="5" s="1"/>
  <c r="AT33" i="5" s="1"/>
  <c r="AC33" i="5"/>
  <c r="AB33" i="5"/>
  <c r="AA33" i="5"/>
  <c r="Y33" i="5"/>
  <c r="AL33" i="5" s="1"/>
  <c r="AS33" i="5" s="1"/>
  <c r="X33" i="5"/>
  <c r="W33" i="5"/>
  <c r="V33" i="5"/>
  <c r="T33" i="5"/>
  <c r="AK33" i="5" s="1"/>
  <c r="AR33" i="5" s="1"/>
  <c r="O33" i="5"/>
  <c r="N33" i="5"/>
  <c r="M33" i="5"/>
  <c r="K33" i="5"/>
  <c r="AI33" i="5" s="1"/>
  <c r="J33" i="5"/>
  <c r="I33" i="5"/>
  <c r="H33" i="5"/>
  <c r="G33" i="5"/>
  <c r="F33" i="5"/>
  <c r="C33" i="5"/>
  <c r="C21" i="5" s="1"/>
  <c r="AH32" i="5"/>
  <c r="AC32" i="5"/>
  <c r="AB32" i="5"/>
  <c r="AA32" i="5"/>
  <c r="X32" i="5"/>
  <c r="W32" i="5"/>
  <c r="V32" i="5"/>
  <c r="T32" i="5"/>
  <c r="AK32" i="5" s="1"/>
  <c r="AR32" i="5" s="1"/>
  <c r="O32" i="5"/>
  <c r="N32" i="5"/>
  <c r="M32" i="5"/>
  <c r="J32" i="5"/>
  <c r="I32" i="5"/>
  <c r="H32" i="5"/>
  <c r="G32" i="5"/>
  <c r="F32" i="5"/>
  <c r="C32" i="5"/>
  <c r="C22" i="5" s="1"/>
  <c r="AH31" i="5"/>
  <c r="AC31" i="5"/>
  <c r="AB31" i="5"/>
  <c r="AA31" i="5"/>
  <c r="Y31" i="5"/>
  <c r="AL31" i="5" s="1"/>
  <c r="AS31" i="5" s="1"/>
  <c r="BF31" i="5" s="1"/>
  <c r="X31" i="5"/>
  <c r="W31" i="5"/>
  <c r="V31" i="5"/>
  <c r="T31" i="5"/>
  <c r="AK31" i="5" s="1"/>
  <c r="AR31" i="5" s="1"/>
  <c r="P31" i="5"/>
  <c r="AJ31" i="5" s="1"/>
  <c r="AQ31" i="5" s="1"/>
  <c r="O31" i="5"/>
  <c r="N31" i="5"/>
  <c r="M31" i="5"/>
  <c r="K31" i="5"/>
  <c r="AI31" i="5" s="1"/>
  <c r="J31" i="5"/>
  <c r="I31" i="5"/>
  <c r="H31" i="5"/>
  <c r="G31" i="5"/>
  <c r="F31" i="5"/>
  <c r="AH30" i="5"/>
  <c r="AD30" i="5"/>
  <c r="AM30" i="5" s="1"/>
  <c r="AT30" i="5" s="1"/>
  <c r="AC30" i="5"/>
  <c r="AB30" i="5"/>
  <c r="AA30" i="5"/>
  <c r="Y30" i="5"/>
  <c r="AL30" i="5" s="1"/>
  <c r="AS30" i="5" s="1"/>
  <c r="X30" i="5"/>
  <c r="W30" i="5"/>
  <c r="V30" i="5"/>
  <c r="T30" i="5"/>
  <c r="AK30" i="5" s="1"/>
  <c r="AR30" i="5" s="1"/>
  <c r="P30" i="5"/>
  <c r="AJ30" i="5" s="1"/>
  <c r="AQ30" i="5" s="1"/>
  <c r="O30" i="5"/>
  <c r="N30" i="5"/>
  <c r="M30" i="5"/>
  <c r="J30" i="5"/>
  <c r="I30" i="5"/>
  <c r="H30" i="5"/>
  <c r="G30" i="5"/>
  <c r="F30" i="5"/>
  <c r="C30" i="5"/>
  <c r="AH29" i="5"/>
  <c r="AL29" i="5"/>
  <c r="AS29" i="5" s="1"/>
  <c r="AK29" i="5"/>
  <c r="AR29" i="5" s="1"/>
  <c r="AI29" i="5"/>
  <c r="AP29" i="5" s="1"/>
  <c r="AH28" i="5"/>
  <c r="AD28" i="5"/>
  <c r="AM28" i="5" s="1"/>
  <c r="AT28" i="5" s="1"/>
  <c r="AC28" i="5"/>
  <c r="AB28" i="5"/>
  <c r="AA28" i="5"/>
  <c r="Y28" i="5"/>
  <c r="AL28" i="5" s="1"/>
  <c r="AS28" i="5" s="1"/>
  <c r="X28" i="5"/>
  <c r="W28" i="5"/>
  <c r="V28" i="5"/>
  <c r="T28" i="5"/>
  <c r="AK28" i="5" s="1"/>
  <c r="AR28" i="5" s="1"/>
  <c r="P28" i="5"/>
  <c r="AJ28" i="5" s="1"/>
  <c r="AQ28" i="5" s="1"/>
  <c r="O28" i="5"/>
  <c r="N28" i="5"/>
  <c r="M28" i="5"/>
  <c r="K28" i="5"/>
  <c r="AI28" i="5" s="1"/>
  <c r="AP28" i="5" s="1"/>
  <c r="BC28" i="5" s="1"/>
  <c r="J28" i="5"/>
  <c r="I28" i="5"/>
  <c r="H28" i="5"/>
  <c r="G28" i="5"/>
  <c r="F28" i="5"/>
  <c r="C28" i="5"/>
  <c r="AH27" i="5"/>
  <c r="AD27" i="5"/>
  <c r="AM27" i="5" s="1"/>
  <c r="AC27" i="5"/>
  <c r="AB27" i="5"/>
  <c r="AA27" i="5"/>
  <c r="Y27" i="5"/>
  <c r="AL27" i="5" s="1"/>
  <c r="X27" i="5"/>
  <c r="W27" i="5"/>
  <c r="V27" i="5"/>
  <c r="T27" i="5"/>
  <c r="AK27" i="5" s="1"/>
  <c r="O27" i="5"/>
  <c r="N27" i="5"/>
  <c r="M27" i="5"/>
  <c r="J27" i="5"/>
  <c r="I27" i="5"/>
  <c r="H27" i="5"/>
  <c r="G27" i="5"/>
  <c r="F27" i="5"/>
  <c r="Y25" i="5"/>
  <c r="P25" i="5"/>
  <c r="K25" i="5"/>
  <c r="Y24" i="5"/>
  <c r="P24" i="5"/>
  <c r="K24" i="5"/>
  <c r="P23" i="5"/>
  <c r="AD22" i="5"/>
  <c r="Y22" i="5"/>
  <c r="P22" i="5"/>
  <c r="AD21" i="5"/>
  <c r="Y21" i="5"/>
  <c r="K21" i="5"/>
  <c r="Y20" i="5"/>
  <c r="P20" i="5"/>
  <c r="AC15" i="5"/>
  <c r="AB15" i="5"/>
  <c r="AA15" i="5"/>
  <c r="X15" i="5"/>
  <c r="W15" i="5"/>
  <c r="V15" i="5"/>
  <c r="R15" i="5"/>
  <c r="O15" i="5"/>
  <c r="N15" i="5"/>
  <c r="M15" i="5"/>
  <c r="J15" i="5"/>
  <c r="I15" i="5"/>
  <c r="H15" i="5"/>
  <c r="G15" i="5"/>
  <c r="F15" i="5"/>
  <c r="AC10" i="5"/>
  <c r="X10" i="5"/>
  <c r="W10" i="5"/>
  <c r="V10" i="5"/>
  <c r="O10" i="5"/>
  <c r="N10" i="5"/>
  <c r="M10" i="5"/>
  <c r="J10" i="5"/>
  <c r="I10" i="5"/>
  <c r="H10" i="5"/>
  <c r="G10" i="5"/>
  <c r="F10" i="5"/>
  <c r="AB8" i="5"/>
  <c r="AA8" i="5"/>
  <c r="Y8" i="5"/>
  <c r="Y4" i="5" s="1"/>
  <c r="P8" i="5"/>
  <c r="P4" i="5" s="1"/>
  <c r="K8" i="5"/>
  <c r="AD3" i="5"/>
  <c r="AA3" i="5"/>
  <c r="P101" i="5" l="1"/>
  <c r="P27" i="5"/>
  <c r="AJ27" i="5" s="1"/>
  <c r="Y38" i="5"/>
  <c r="AL38" i="5" s="1"/>
  <c r="AS38" i="5" s="1"/>
  <c r="G111" i="5"/>
  <c r="D50" i="5"/>
  <c r="D34" i="5" s="1"/>
  <c r="D85" i="5"/>
  <c r="D87" i="5"/>
  <c r="P38" i="5"/>
  <c r="AJ38" i="5" s="1"/>
  <c r="AQ38" i="5" s="1"/>
  <c r="P109" i="5"/>
  <c r="X110" i="5"/>
  <c r="W110" i="5"/>
  <c r="P36" i="5"/>
  <c r="AJ36" i="5" s="1"/>
  <c r="AQ36" i="5" s="1"/>
  <c r="BD36" i="5" s="1"/>
  <c r="G99" i="5"/>
  <c r="H99" i="5"/>
  <c r="AD102" i="5"/>
  <c r="AD104" i="5"/>
  <c r="AD36" i="5"/>
  <c r="AB109" i="5" s="1"/>
  <c r="D92" i="5"/>
  <c r="P29" i="5"/>
  <c r="AJ29" i="5" s="1"/>
  <c r="AQ29" i="5" s="1"/>
  <c r="F17" i="5"/>
  <c r="F19" i="5" s="1"/>
  <c r="D46" i="5"/>
  <c r="Y36" i="5"/>
  <c r="AL36" i="5" s="1"/>
  <c r="AS36" i="5" s="1"/>
  <c r="AD103" i="5"/>
  <c r="D103" i="5" s="1"/>
  <c r="AD29" i="5"/>
  <c r="AM29" i="5" s="1"/>
  <c r="AT29" i="5" s="1"/>
  <c r="D62" i="5"/>
  <c r="P99" i="5"/>
  <c r="D99" i="5" s="1"/>
  <c r="D69" i="5"/>
  <c r="D75" i="5"/>
  <c r="K109" i="5"/>
  <c r="Y101" i="5"/>
  <c r="Y109" i="5"/>
  <c r="D47" i="5"/>
  <c r="K36" i="5"/>
  <c r="AI36" i="5" s="1"/>
  <c r="AP36" i="5" s="1"/>
  <c r="D61" i="5"/>
  <c r="D100" i="5"/>
  <c r="AD101" i="5"/>
  <c r="D84" i="5"/>
  <c r="K10" i="5"/>
  <c r="D86" i="5"/>
  <c r="D88" i="5"/>
  <c r="AD8" i="5"/>
  <c r="AD4" i="5" s="1"/>
  <c r="AA4" i="5"/>
  <c r="P32" i="5"/>
  <c r="AJ32" i="5" s="1"/>
  <c r="AQ32" i="5" s="1"/>
  <c r="BD32" i="5" s="1"/>
  <c r="Y95" i="5"/>
  <c r="P102" i="5"/>
  <c r="P104" i="5"/>
  <c r="AB10" i="5"/>
  <c r="AB4" i="5"/>
  <c r="AA10" i="5"/>
  <c r="AA17" i="5" s="1"/>
  <c r="AA23" i="5" s="1"/>
  <c r="AC17" i="5"/>
  <c r="AC23" i="5" s="1"/>
  <c r="O103" i="5"/>
  <c r="N103" i="5"/>
  <c r="D56" i="5"/>
  <c r="Y102" i="5"/>
  <c r="Y104" i="5"/>
  <c r="H107" i="5"/>
  <c r="G107" i="5"/>
  <c r="D107" i="5"/>
  <c r="W17" i="5"/>
  <c r="V17" i="5"/>
  <c r="V23" i="5" s="1"/>
  <c r="Y10" i="5"/>
  <c r="X17" i="5"/>
  <c r="K4" i="5"/>
  <c r="H111" i="5"/>
  <c r="D57" i="5"/>
  <c r="D90" i="5"/>
  <c r="D89" i="5"/>
  <c r="K32" i="5"/>
  <c r="AI32" i="5" s="1"/>
  <c r="AP32" i="5" s="1"/>
  <c r="CA32" i="5" s="1"/>
  <c r="N108" i="5"/>
  <c r="O108" i="5"/>
  <c r="D39" i="5"/>
  <c r="I17" i="5"/>
  <c r="I22" i="5" s="1"/>
  <c r="K22" i="5" s="1"/>
  <c r="AF22" i="5" s="1"/>
  <c r="O17" i="5"/>
  <c r="O19" i="5" s="1"/>
  <c r="J17" i="5"/>
  <c r="G17" i="5"/>
  <c r="G19" i="5" s="1"/>
  <c r="H17" i="5"/>
  <c r="H19" i="5" s="1"/>
  <c r="N17" i="5"/>
  <c r="N19" i="5" s="1"/>
  <c r="AD95" i="5"/>
  <c r="AC95" i="5" s="1"/>
  <c r="D70" i="5"/>
  <c r="D33" i="5" s="1"/>
  <c r="D21" i="5" s="1"/>
  <c r="P95" i="5"/>
  <c r="AD48" i="5"/>
  <c r="T48" i="5"/>
  <c r="AF66" i="5"/>
  <c r="R17" i="5"/>
  <c r="M17" i="5"/>
  <c r="P17" i="5" s="1"/>
  <c r="P10" i="5"/>
  <c r="C23" i="5"/>
  <c r="D58" i="5"/>
  <c r="K38" i="5"/>
  <c r="AI38" i="5" s="1"/>
  <c r="AD31" i="5"/>
  <c r="AM31" i="5" s="1"/>
  <c r="AT31" i="5" s="1"/>
  <c r="BS31" i="5" s="1"/>
  <c r="K30" i="5"/>
  <c r="AI30" i="5" s="1"/>
  <c r="AP30" i="5" s="1"/>
  <c r="BC30" i="5" s="1"/>
  <c r="D68" i="5"/>
  <c r="D52" i="5"/>
  <c r="P93" i="5"/>
  <c r="D53" i="5"/>
  <c r="D51" i="5"/>
  <c r="C19" i="5"/>
  <c r="D49" i="5"/>
  <c r="K27" i="5"/>
  <c r="AI27" i="5" s="1"/>
  <c r="AP27" i="5" s="1"/>
  <c r="D64" i="5"/>
  <c r="AD10" i="5"/>
  <c r="BQ28" i="5"/>
  <c r="CC28" i="5"/>
  <c r="BE28" i="5"/>
  <c r="BS28" i="5"/>
  <c r="CE28" i="5"/>
  <c r="BG28" i="5"/>
  <c r="Y17" i="5"/>
  <c r="AB17" i="5"/>
  <c r="AC19" i="5"/>
  <c r="AD19" i="5" s="1"/>
  <c r="CD29" i="5"/>
  <c r="BR29" i="5"/>
  <c r="BF29" i="5"/>
  <c r="AS27" i="5"/>
  <c r="CD28" i="5"/>
  <c r="BF28" i="5"/>
  <c r="BR28" i="5"/>
  <c r="CC29" i="5"/>
  <c r="BE29" i="5"/>
  <c r="BS29" i="5"/>
  <c r="BG29" i="5"/>
  <c r="CE29" i="5"/>
  <c r="CC30" i="5"/>
  <c r="BQ30" i="5"/>
  <c r="BE30" i="5"/>
  <c r="BR30" i="5"/>
  <c r="BF30" i="5"/>
  <c r="CD30" i="5"/>
  <c r="BG30" i="5"/>
  <c r="CE30" i="5"/>
  <c r="BS30" i="5"/>
  <c r="BC34" i="5"/>
  <c r="AU34" i="5"/>
  <c r="CA34" i="5"/>
  <c r="BO34" i="5"/>
  <c r="BF35" i="5"/>
  <c r="CD35" i="5"/>
  <c r="BR35" i="5"/>
  <c r="BE36" i="5"/>
  <c r="CC36" i="5"/>
  <c r="BQ36" i="5"/>
  <c r="CD36" i="5"/>
  <c r="BR36" i="5"/>
  <c r="BF36" i="5"/>
  <c r="W23" i="5"/>
  <c r="W19" i="5" s="1"/>
  <c r="AR27" i="5"/>
  <c r="BO28" i="5"/>
  <c r="AU28" i="5"/>
  <c r="CA28" i="5"/>
  <c r="BO32" i="5"/>
  <c r="CD33" i="5"/>
  <c r="BR33" i="5"/>
  <c r="BF33" i="5"/>
  <c r="CB34" i="5"/>
  <c r="BP34" i="5"/>
  <c r="BD34" i="5"/>
  <c r="BG34" i="5"/>
  <c r="CE34" i="5"/>
  <c r="BS34" i="5"/>
  <c r="BP37" i="5"/>
  <c r="CB37" i="5"/>
  <c r="BD37" i="5"/>
  <c r="AN28" i="5"/>
  <c r="BQ29" i="5"/>
  <c r="AP31" i="5"/>
  <c r="CB31" i="5"/>
  <c r="BP31" i="5"/>
  <c r="BD31" i="5"/>
  <c r="BP32" i="5"/>
  <c r="CB32" i="5"/>
  <c r="CE32" i="5"/>
  <c r="BS32" i="5"/>
  <c r="BG32" i="5"/>
  <c r="AN33" i="5"/>
  <c r="AP33" i="5"/>
  <c r="BD33" i="5"/>
  <c r="CB33" i="5"/>
  <c r="BP33" i="5"/>
  <c r="CC34" i="5"/>
  <c r="BQ34" i="5"/>
  <c r="BE34" i="5"/>
  <c r="BR34" i="5"/>
  <c r="BF34" i="5"/>
  <c r="CD34" i="5"/>
  <c r="CA36" i="5"/>
  <c r="BO36" i="5"/>
  <c r="BC36" i="5"/>
  <c r="AQ27" i="5"/>
  <c r="BD28" i="5"/>
  <c r="CB28" i="5"/>
  <c r="BP28" i="5"/>
  <c r="BO29" i="5"/>
  <c r="BC29" i="5"/>
  <c r="CA29" i="5"/>
  <c r="CB30" i="5"/>
  <c r="BP30" i="5"/>
  <c r="BD30" i="5"/>
  <c r="BQ31" i="5"/>
  <c r="BE31" i="5"/>
  <c r="CC31" i="5"/>
  <c r="BE32" i="5"/>
  <c r="CC32" i="5"/>
  <c r="BQ32" i="5"/>
  <c r="CD32" i="5"/>
  <c r="BR32" i="5"/>
  <c r="BF32" i="5"/>
  <c r="CC33" i="5"/>
  <c r="BQ33" i="5"/>
  <c r="BE33" i="5"/>
  <c r="BS33" i="5"/>
  <c r="BG33" i="5"/>
  <c r="CE33" i="5"/>
  <c r="AP35" i="5"/>
  <c r="CB35" i="5"/>
  <c r="BP35" i="5"/>
  <c r="BD35" i="5"/>
  <c r="BR31" i="5"/>
  <c r="AN34" i="5"/>
  <c r="CC38" i="5"/>
  <c r="BQ38" i="5"/>
  <c r="BE38" i="5"/>
  <c r="CC39" i="5"/>
  <c r="BQ39" i="5"/>
  <c r="BE39" i="5"/>
  <c r="BR39" i="5"/>
  <c r="BF39" i="5"/>
  <c r="CD39" i="5"/>
  <c r="BG39" i="5"/>
  <c r="CE39" i="5"/>
  <c r="BS39" i="5"/>
  <c r="AF103" i="5"/>
  <c r="H103" i="5"/>
  <c r="O107" i="5"/>
  <c r="N107" i="5"/>
  <c r="CD31" i="5"/>
  <c r="BE37" i="5"/>
  <c r="BQ37" i="5"/>
  <c r="X100" i="5"/>
  <c r="W100" i="5"/>
  <c r="V100" i="5"/>
  <c r="O99" i="5"/>
  <c r="AT27" i="5"/>
  <c r="AN32" i="5"/>
  <c r="CD38" i="5"/>
  <c r="BR38" i="5"/>
  <c r="BF38" i="5"/>
  <c r="AC112" i="5"/>
  <c r="AC113" i="5" s="1"/>
  <c r="AC114" i="5" s="1"/>
  <c r="X99" i="5"/>
  <c r="X96" i="5" s="1"/>
  <c r="W99" i="5"/>
  <c r="W96" i="5" s="1"/>
  <c r="V99" i="5"/>
  <c r="K101" i="5"/>
  <c r="D101" i="5" s="1"/>
  <c r="D67" i="5"/>
  <c r="D32" i="5" s="1"/>
  <c r="D22" i="5" s="1"/>
  <c r="J102" i="5"/>
  <c r="AF102" i="5"/>
  <c r="CC37" i="5"/>
  <c r="BD38" i="5"/>
  <c r="CB38" i="5"/>
  <c r="BP38" i="5"/>
  <c r="BS38" i="5"/>
  <c r="BG38" i="5"/>
  <c r="CE38" i="5"/>
  <c r="AP39" i="5"/>
  <c r="AN39" i="5"/>
  <c r="CB39" i="5"/>
  <c r="BP39" i="5"/>
  <c r="BD39" i="5"/>
  <c r="AF100" i="5"/>
  <c r="AF107" i="5"/>
  <c r="D63" i="5"/>
  <c r="D28" i="5" s="1"/>
  <c r="AD71" i="5"/>
  <c r="C99" i="5"/>
  <c r="C101" i="5"/>
  <c r="K104" i="5"/>
  <c r="D104" i="5" s="1"/>
  <c r="K108" i="5"/>
  <c r="D108" i="5" s="1"/>
  <c r="P110" i="5"/>
  <c r="AF110" i="5" s="1"/>
  <c r="C76" i="5"/>
  <c r="C109" i="5" s="1"/>
  <c r="K95" i="5"/>
  <c r="C96" i="5"/>
  <c r="D45" i="5"/>
  <c r="D65" i="5"/>
  <c r="D31" i="5" s="1"/>
  <c r="D82" i="5"/>
  <c r="D83" i="5"/>
  <c r="BP29" i="5" l="1"/>
  <c r="AU29" i="5"/>
  <c r="AF4" i="5"/>
  <c r="AH4" i="5" s="1"/>
  <c r="AU32" i="5"/>
  <c r="AM36" i="5"/>
  <c r="AT36" i="5" s="1"/>
  <c r="BS36" i="5" s="1"/>
  <c r="AN38" i="5"/>
  <c r="D102" i="5"/>
  <c r="N99" i="5"/>
  <c r="AF8" i="5"/>
  <c r="AH8" i="5" s="1"/>
  <c r="AI8" i="5" s="1"/>
  <c r="AF99" i="5"/>
  <c r="D36" i="5"/>
  <c r="D25" i="5" s="1"/>
  <c r="CB36" i="5"/>
  <c r="T109" i="5"/>
  <c r="AJ40" i="5"/>
  <c r="AQ40" i="5" s="1"/>
  <c r="BP36" i="5"/>
  <c r="D110" i="5"/>
  <c r="D29" i="5"/>
  <c r="X23" i="5"/>
  <c r="X19" i="5" s="1"/>
  <c r="N21" i="5"/>
  <c r="T17" i="5"/>
  <c r="T40" i="5" s="1"/>
  <c r="R24" i="5"/>
  <c r="T24" i="5" s="1"/>
  <c r="AD17" i="5"/>
  <c r="AA24" i="5"/>
  <c r="Y73" i="5"/>
  <c r="K73" i="5" s="1"/>
  <c r="D73" i="5" s="1"/>
  <c r="Y74" i="5"/>
  <c r="Y72" i="5"/>
  <c r="K72" i="5" s="1"/>
  <c r="D72" i="5" s="1"/>
  <c r="Y71" i="5"/>
  <c r="K71" i="5" s="1"/>
  <c r="D71" i="5" s="1"/>
  <c r="K17" i="5"/>
  <c r="J20" i="5"/>
  <c r="K20" i="5" s="1"/>
  <c r="AF20" i="5" s="1"/>
  <c r="J23" i="5"/>
  <c r="K23" i="5" s="1"/>
  <c r="D38" i="5"/>
  <c r="BC32" i="5"/>
  <c r="N95" i="5"/>
  <c r="O95" i="5"/>
  <c r="O40" i="5" s="1"/>
  <c r="D95" i="5"/>
  <c r="H95" i="5"/>
  <c r="AD37" i="5"/>
  <c r="AM37" i="5" s="1"/>
  <c r="AT37" i="5" s="1"/>
  <c r="BO30" i="5"/>
  <c r="K19" i="5"/>
  <c r="BD29" i="5"/>
  <c r="AN29" i="5"/>
  <c r="AD76" i="5"/>
  <c r="AD109" i="5" s="1"/>
  <c r="T76" i="5"/>
  <c r="D48" i="5"/>
  <c r="C93" i="5"/>
  <c r="M21" i="5"/>
  <c r="M19" i="5"/>
  <c r="P19" i="5" s="1"/>
  <c r="P40" i="5"/>
  <c r="CE31" i="5"/>
  <c r="BG31" i="5"/>
  <c r="D27" i="5"/>
  <c r="AN27" i="5"/>
  <c r="AN30" i="5"/>
  <c r="CB29" i="5"/>
  <c r="N40" i="5"/>
  <c r="AF10" i="5"/>
  <c r="AP38" i="5"/>
  <c r="CA38" i="5" s="1"/>
  <c r="W40" i="5"/>
  <c r="BG36" i="5"/>
  <c r="AN31" i="5"/>
  <c r="CA30" i="5"/>
  <c r="AU30" i="5"/>
  <c r="CE36" i="5"/>
  <c r="AD96" i="5"/>
  <c r="AC96" i="5" s="1"/>
  <c r="H40" i="5"/>
  <c r="K3" i="5"/>
  <c r="D19" i="5"/>
  <c r="M3" i="5"/>
  <c r="AU36" i="5"/>
  <c r="X40" i="5"/>
  <c r="C35" i="5"/>
  <c r="CA35" i="5"/>
  <c r="BO35" i="5"/>
  <c r="BC35" i="5"/>
  <c r="BO33" i="5"/>
  <c r="BC33" i="5"/>
  <c r="AU33" i="5"/>
  <c r="CA33" i="5"/>
  <c r="BE27" i="5"/>
  <c r="CC27" i="5"/>
  <c r="BQ27" i="5"/>
  <c r="BR27" i="5"/>
  <c r="BF27" i="5"/>
  <c r="CD27" i="5"/>
  <c r="AB23" i="5"/>
  <c r="AD23" i="5" s="1"/>
  <c r="AF108" i="5"/>
  <c r="G108" i="5"/>
  <c r="I101" i="5"/>
  <c r="AF101" i="5"/>
  <c r="Y23" i="5"/>
  <c r="D66" i="5"/>
  <c r="J104" i="5"/>
  <c r="AF104" i="5"/>
  <c r="CE37" i="5"/>
  <c r="BS37" i="5"/>
  <c r="BG37" i="5"/>
  <c r="BC39" i="5"/>
  <c r="AU39" i="5"/>
  <c r="CA39" i="5"/>
  <c r="BO39" i="5"/>
  <c r="CE27" i="5"/>
  <c r="BG27" i="5"/>
  <c r="BS27" i="5"/>
  <c r="BP27" i="5"/>
  <c r="BP40" i="5" s="1"/>
  <c r="CB27" i="5"/>
  <c r="BD27" i="5"/>
  <c r="CA27" i="5"/>
  <c r="BC27" i="5"/>
  <c r="AU27" i="5"/>
  <c r="BO27" i="5"/>
  <c r="AF95" i="5"/>
  <c r="AA96" i="5"/>
  <c r="AU31" i="5"/>
  <c r="CA31" i="5"/>
  <c r="BO31" i="5"/>
  <c r="BC31" i="5"/>
  <c r="V19" i="5"/>
  <c r="CB40" i="5" l="1"/>
  <c r="AN36" i="5"/>
  <c r="D109" i="5"/>
  <c r="AB96" i="5"/>
  <c r="Y19" i="5"/>
  <c r="AF19" i="5" s="1"/>
  <c r="P21" i="5"/>
  <c r="AF21" i="5" s="1"/>
  <c r="AF17" i="5"/>
  <c r="AB25" i="5"/>
  <c r="AD25" i="5" s="1"/>
  <c r="AF25" i="5" s="1"/>
  <c r="Y37" i="5"/>
  <c r="AL37" i="5" s="1"/>
  <c r="Y93" i="5"/>
  <c r="Y40" i="5" s="1"/>
  <c r="K74" i="5"/>
  <c r="D74" i="5" s="1"/>
  <c r="D37" i="5" s="1"/>
  <c r="D23" i="5" s="1"/>
  <c r="Y96" i="5"/>
  <c r="V96" i="5" s="1"/>
  <c r="V40" i="5" s="1"/>
  <c r="I40" i="5"/>
  <c r="AC40" i="5"/>
  <c r="BD40" i="5"/>
  <c r="G40" i="5"/>
  <c r="AF23" i="5"/>
  <c r="T35" i="5"/>
  <c r="AU38" i="5"/>
  <c r="BC38" i="5"/>
  <c r="BO38" i="5"/>
  <c r="D76" i="5"/>
  <c r="D35" i="5" s="1"/>
  <c r="D24" i="5" s="1"/>
  <c r="T93" i="5"/>
  <c r="AD24" i="5"/>
  <c r="AF24" i="5" s="1"/>
  <c r="C24" i="5"/>
  <c r="C40" i="5"/>
  <c r="C42" i="5" s="1"/>
  <c r="AD35" i="5"/>
  <c r="AD93" i="5"/>
  <c r="AD40" i="5" s="1"/>
  <c r="K96" i="5" l="1"/>
  <c r="J96" i="5" s="1"/>
  <c r="K37" i="5"/>
  <c r="AI37" i="5" s="1"/>
  <c r="AK35" i="5"/>
  <c r="AR35" i="5" s="1"/>
  <c r="BE35" i="5" s="1"/>
  <c r="BE40" i="5" s="1"/>
  <c r="R109" i="5"/>
  <c r="R40" i="5" s="1"/>
  <c r="AM35" i="5"/>
  <c r="AN35" i="5" s="1"/>
  <c r="AA109" i="5"/>
  <c r="K93" i="5"/>
  <c r="K40" i="5" s="1"/>
  <c r="AS37" i="5"/>
  <c r="AL40" i="5"/>
  <c r="AS40" i="5" s="1"/>
  <c r="D96" i="5"/>
  <c r="AP37" i="5"/>
  <c r="AI40" i="5"/>
  <c r="AP40" i="5" s="1"/>
  <c r="AN37" i="5"/>
  <c r="D40" i="5"/>
  <c r="AB40" i="5"/>
  <c r="AA40" i="5"/>
  <c r="AM40" i="5"/>
  <c r="AT40" i="5" s="1"/>
  <c r="CC35" i="5"/>
  <c r="CC40" i="5" s="1"/>
  <c r="AT35" i="5" l="1"/>
  <c r="BG35" i="5" s="1"/>
  <c r="BG40" i="5" s="1"/>
  <c r="BG41" i="5" s="1"/>
  <c r="BG42" i="5" s="1"/>
  <c r="AK40" i="5"/>
  <c r="AR40" i="5" s="1"/>
  <c r="AF96" i="5"/>
  <c r="BQ35" i="5"/>
  <c r="BQ40" i="5" s="1"/>
  <c r="AF109" i="5"/>
  <c r="D93" i="5"/>
  <c r="CD37" i="5"/>
  <c r="CD40" i="5" s="1"/>
  <c r="CD41" i="5" s="1"/>
  <c r="CD42" i="5" s="1"/>
  <c r="BF37" i="5"/>
  <c r="BF40" i="5" s="1"/>
  <c r="BF41" i="5" s="1"/>
  <c r="BF42" i="5" s="1"/>
  <c r="BR37" i="5"/>
  <c r="BR40" i="5" s="1"/>
  <c r="BR41" i="5" s="1"/>
  <c r="BR42" i="5" s="1"/>
  <c r="J40" i="5"/>
  <c r="AN40" i="5"/>
  <c r="AU40" i="5" s="1"/>
  <c r="AU37" i="5"/>
  <c r="BC37" i="5"/>
  <c r="BC40" i="5" s="1"/>
  <c r="BC41" i="5" s="1"/>
  <c r="BC42" i="5" s="1"/>
  <c r="CA37" i="5"/>
  <c r="CA40" i="5" s="1"/>
  <c r="CA41" i="5" s="1"/>
  <c r="CA42" i="5" s="1"/>
  <c r="BO37" i="5"/>
  <c r="BO40" i="5" s="1"/>
  <c r="BO41" i="5" s="1"/>
  <c r="BO42" i="5" s="1"/>
  <c r="BS35" i="5"/>
  <c r="BS40" i="5" s="1"/>
  <c r="BS41" i="5" s="1"/>
  <c r="BS42" i="5" s="1"/>
  <c r="AU35" i="5"/>
  <c r="CE35" i="5" l="1"/>
  <c r="CE40" i="5" s="1"/>
  <c r="CE41" i="5" s="1"/>
  <c r="CE42" i="5" s="1"/>
  <c r="K21" i="4"/>
  <c r="K24" i="4"/>
  <c r="K25" i="4"/>
  <c r="P20" i="4"/>
  <c r="P22" i="4"/>
  <c r="P23" i="4"/>
  <c r="P24" i="4"/>
  <c r="P25" i="4"/>
  <c r="Y20" i="4"/>
  <c r="Y21" i="4"/>
  <c r="Y22" i="4"/>
  <c r="Y24" i="4"/>
  <c r="Y25" i="4"/>
  <c r="T75" i="4"/>
  <c r="V4" i="4"/>
  <c r="AB39" i="4"/>
  <c r="AB38" i="4"/>
  <c r="AB37" i="4"/>
  <c r="AB35" i="4"/>
  <c r="AB34" i="4"/>
  <c r="AB33" i="4"/>
  <c r="AB32" i="4"/>
  <c r="AB31" i="4"/>
  <c r="AB30" i="4"/>
  <c r="AB28" i="4"/>
  <c r="AB27" i="4"/>
  <c r="AB15" i="4"/>
  <c r="AB8" i="4"/>
  <c r="AB10" i="4" s="1"/>
  <c r="AA8" i="4"/>
  <c r="AB17" i="4" l="1"/>
  <c r="C76" i="4"/>
  <c r="C48" i="4"/>
  <c r="AF66" i="4"/>
  <c r="AD48" i="4" l="1"/>
  <c r="T48" i="4"/>
  <c r="AD76" i="4"/>
  <c r="T76" i="4"/>
  <c r="AB23" i="4"/>
  <c r="D77" i="4"/>
  <c r="D78" i="4"/>
  <c r="T109" i="4" l="1"/>
  <c r="AB25" i="4"/>
  <c r="AD72" i="4"/>
  <c r="AH28" i="4"/>
  <c r="AD39" i="4"/>
  <c r="AM39" i="4" s="1"/>
  <c r="AT39" i="4" s="1"/>
  <c r="AC39" i="4"/>
  <c r="AA39" i="4"/>
  <c r="AC38" i="4"/>
  <c r="AA38" i="4"/>
  <c r="AC37" i="4"/>
  <c r="AA37" i="4"/>
  <c r="AC35" i="4"/>
  <c r="AA35" i="4"/>
  <c r="AD34" i="4"/>
  <c r="AM34" i="4" s="1"/>
  <c r="AT34" i="4" s="1"/>
  <c r="AC34" i="4"/>
  <c r="AA34" i="4"/>
  <c r="AC33" i="4"/>
  <c r="AA33" i="4"/>
  <c r="AC32" i="4"/>
  <c r="AA32" i="4"/>
  <c r="AC31" i="4"/>
  <c r="AA31" i="4"/>
  <c r="AD30" i="4"/>
  <c r="AM30" i="4" s="1"/>
  <c r="AT30" i="4" s="1"/>
  <c r="BG30" i="4" s="1"/>
  <c r="AC30" i="4"/>
  <c r="AA30" i="4"/>
  <c r="AC28" i="4"/>
  <c r="AA28" i="4"/>
  <c r="AC27" i="4"/>
  <c r="AA27" i="4"/>
  <c r="Y39" i="4"/>
  <c r="AL39" i="4" s="1"/>
  <c r="AS39" i="4" s="1"/>
  <c r="X39" i="4"/>
  <c r="W39" i="4"/>
  <c r="V39" i="4"/>
  <c r="X38" i="4"/>
  <c r="W38" i="4"/>
  <c r="V38" i="4"/>
  <c r="X37" i="4"/>
  <c r="W37" i="4"/>
  <c r="V37" i="4"/>
  <c r="X35" i="4"/>
  <c r="W35" i="4"/>
  <c r="V35" i="4"/>
  <c r="Y34" i="4"/>
  <c r="AL34" i="4" s="1"/>
  <c r="AS34" i="4" s="1"/>
  <c r="X34" i="4"/>
  <c r="W34" i="4"/>
  <c r="V34" i="4"/>
  <c r="X33" i="4"/>
  <c r="W33" i="4"/>
  <c r="V33" i="4"/>
  <c r="X32" i="4"/>
  <c r="W32" i="4"/>
  <c r="V32" i="4"/>
  <c r="Y31" i="4"/>
  <c r="AL31" i="4" s="1"/>
  <c r="AS31" i="4" s="1"/>
  <c r="BF31" i="4" s="1"/>
  <c r="X31" i="4"/>
  <c r="W31" i="4"/>
  <c r="V31" i="4"/>
  <c r="Y30" i="4"/>
  <c r="AL30" i="4" s="1"/>
  <c r="AS30" i="4" s="1"/>
  <c r="BF30" i="4" s="1"/>
  <c r="X30" i="4"/>
  <c r="W30" i="4"/>
  <c r="V30" i="4"/>
  <c r="X28" i="4"/>
  <c r="W28" i="4"/>
  <c r="V28" i="4"/>
  <c r="X27" i="4"/>
  <c r="W27" i="4"/>
  <c r="V27" i="4"/>
  <c r="T39" i="4"/>
  <c r="AK39" i="4" s="1"/>
  <c r="AR39" i="4" s="1"/>
  <c r="T38" i="4"/>
  <c r="AK38" i="4" s="1"/>
  <c r="AR38" i="4" s="1"/>
  <c r="T37" i="4"/>
  <c r="AK37" i="4" s="1"/>
  <c r="AR37" i="4" s="1"/>
  <c r="AK36" i="4"/>
  <c r="AR36" i="4" s="1"/>
  <c r="T34" i="4"/>
  <c r="AK34" i="4" s="1"/>
  <c r="AR34" i="4" s="1"/>
  <c r="T33" i="4"/>
  <c r="AK33" i="4" s="1"/>
  <c r="AR33" i="4" s="1"/>
  <c r="T32" i="4"/>
  <c r="AK32" i="4" s="1"/>
  <c r="AR32" i="4" s="1"/>
  <c r="T31" i="4"/>
  <c r="AK31" i="4" s="1"/>
  <c r="AR31" i="4" s="1"/>
  <c r="BE31" i="4" s="1"/>
  <c r="T30" i="4"/>
  <c r="AK30" i="4" s="1"/>
  <c r="AR30" i="4" s="1"/>
  <c r="BE30" i="4" s="1"/>
  <c r="AK29" i="4"/>
  <c r="AR29" i="4" s="1"/>
  <c r="BE29" i="4" s="1"/>
  <c r="T28" i="4"/>
  <c r="AK28" i="4" s="1"/>
  <c r="AR28" i="4" s="1"/>
  <c r="T27" i="4"/>
  <c r="P39" i="4"/>
  <c r="AJ39" i="4" s="1"/>
  <c r="AQ39" i="4" s="1"/>
  <c r="O39" i="4"/>
  <c r="N39" i="4"/>
  <c r="M39" i="4"/>
  <c r="O38" i="4"/>
  <c r="N38" i="4"/>
  <c r="M38" i="4"/>
  <c r="O37" i="4"/>
  <c r="N37" i="4"/>
  <c r="M37" i="4"/>
  <c r="O35" i="4"/>
  <c r="N35" i="4"/>
  <c r="M35" i="4"/>
  <c r="O34" i="4"/>
  <c r="N34" i="4"/>
  <c r="M34" i="4"/>
  <c r="O33" i="4"/>
  <c r="N33" i="4"/>
  <c r="M33" i="4"/>
  <c r="O32" i="4"/>
  <c r="N32" i="4"/>
  <c r="M32" i="4"/>
  <c r="O31" i="4"/>
  <c r="N31" i="4"/>
  <c r="M31" i="4"/>
  <c r="P30" i="4"/>
  <c r="AJ30" i="4" s="1"/>
  <c r="AQ30" i="4" s="1"/>
  <c r="BD30" i="4" s="1"/>
  <c r="O30" i="4"/>
  <c r="N30" i="4"/>
  <c r="M30" i="4"/>
  <c r="O28" i="4"/>
  <c r="N28" i="4"/>
  <c r="M28" i="4"/>
  <c r="O27" i="4"/>
  <c r="N27" i="4"/>
  <c r="M27" i="4"/>
  <c r="K39" i="4"/>
  <c r="AI39" i="4" s="1"/>
  <c r="J39" i="4"/>
  <c r="I39" i="4"/>
  <c r="H39" i="4"/>
  <c r="G39" i="4"/>
  <c r="F39" i="4"/>
  <c r="J38" i="4"/>
  <c r="I38" i="4"/>
  <c r="H38" i="4"/>
  <c r="G38" i="4"/>
  <c r="F38" i="4"/>
  <c r="J37" i="4"/>
  <c r="I37" i="4"/>
  <c r="H37" i="4"/>
  <c r="G37" i="4"/>
  <c r="F37" i="4"/>
  <c r="J35" i="4"/>
  <c r="I35" i="4"/>
  <c r="H35" i="4"/>
  <c r="G35" i="4"/>
  <c r="F35" i="4"/>
  <c r="J34" i="4"/>
  <c r="I34" i="4"/>
  <c r="H34" i="4"/>
  <c r="G34" i="4"/>
  <c r="F34" i="4"/>
  <c r="J33" i="4"/>
  <c r="I33" i="4"/>
  <c r="H33" i="4"/>
  <c r="G33" i="4"/>
  <c r="F33" i="4"/>
  <c r="J32" i="4"/>
  <c r="I32" i="4"/>
  <c r="H32" i="4"/>
  <c r="G32" i="4"/>
  <c r="F32" i="4"/>
  <c r="K31" i="4"/>
  <c r="AI31" i="4" s="1"/>
  <c r="J31" i="4"/>
  <c r="I31" i="4"/>
  <c r="H31" i="4"/>
  <c r="G31" i="4"/>
  <c r="F31" i="4"/>
  <c r="J30" i="4"/>
  <c r="I30" i="4"/>
  <c r="H30" i="4"/>
  <c r="G30" i="4"/>
  <c r="F30" i="4"/>
  <c r="J28" i="4"/>
  <c r="I28" i="4"/>
  <c r="H28" i="4"/>
  <c r="G28" i="4"/>
  <c r="F28" i="4"/>
  <c r="J27" i="4"/>
  <c r="I27" i="4"/>
  <c r="H27" i="4"/>
  <c r="G27" i="4"/>
  <c r="F27" i="4"/>
  <c r="D39" i="4"/>
  <c r="C28" i="4"/>
  <c r="CC28" i="4" l="1"/>
  <c r="BQ28" i="4"/>
  <c r="BE28" i="4"/>
  <c r="AP39" i="4"/>
  <c r="AU39" i="4" s="1"/>
  <c r="AN39" i="4"/>
  <c r="AP31" i="4"/>
  <c r="BC31" i="4" l="1"/>
  <c r="AF97" i="4" l="1"/>
  <c r="AF98" i="4"/>
  <c r="AF105" i="4"/>
  <c r="AF106" i="4"/>
  <c r="AD110" i="4"/>
  <c r="AD108" i="4"/>
  <c r="Y110" i="4"/>
  <c r="Y108" i="4"/>
  <c r="X108" i="4" s="1"/>
  <c r="Y107" i="4"/>
  <c r="P108" i="4"/>
  <c r="N108" i="4" s="1"/>
  <c r="K107" i="4"/>
  <c r="C103" i="4"/>
  <c r="C102" i="4"/>
  <c r="C100" i="4"/>
  <c r="C95" i="4"/>
  <c r="AK27" i="4"/>
  <c r="AR27" i="4" s="1"/>
  <c r="C110" i="4"/>
  <c r="C108" i="4"/>
  <c r="C107" i="4"/>
  <c r="D106" i="4"/>
  <c r="D105" i="4"/>
  <c r="C104" i="4"/>
  <c r="D98" i="4"/>
  <c r="D97" i="4"/>
  <c r="AD92" i="4"/>
  <c r="Y92" i="4"/>
  <c r="P92" i="4"/>
  <c r="P29" i="4" s="1"/>
  <c r="K92" i="4"/>
  <c r="K29" i="4" s="1"/>
  <c r="AD90" i="4"/>
  <c r="Y90" i="4"/>
  <c r="P90" i="4"/>
  <c r="K90" i="4"/>
  <c r="AD89" i="4"/>
  <c r="Y89" i="4"/>
  <c r="P89" i="4"/>
  <c r="K89" i="4"/>
  <c r="AD88" i="4"/>
  <c r="Y88" i="4"/>
  <c r="P88" i="4"/>
  <c r="K88" i="4"/>
  <c r="AD87" i="4"/>
  <c r="Y87" i="4"/>
  <c r="P87" i="4"/>
  <c r="K87" i="4"/>
  <c r="AD86" i="4"/>
  <c r="Y86" i="4"/>
  <c r="P86" i="4"/>
  <c r="K86" i="4"/>
  <c r="AD85" i="4"/>
  <c r="Y85" i="4"/>
  <c r="P85" i="4"/>
  <c r="K85" i="4"/>
  <c r="AD84" i="4"/>
  <c r="Y84" i="4"/>
  <c r="P84" i="4"/>
  <c r="K84" i="4"/>
  <c r="AD83" i="4"/>
  <c r="Y83" i="4"/>
  <c r="P83" i="4"/>
  <c r="K83" i="4"/>
  <c r="AD82" i="4"/>
  <c r="Y82" i="4"/>
  <c r="P82" i="4"/>
  <c r="AD81" i="4"/>
  <c r="Y81" i="4"/>
  <c r="P81" i="4"/>
  <c r="K81" i="4"/>
  <c r="Y76" i="4"/>
  <c r="P76" i="4"/>
  <c r="K76" i="4"/>
  <c r="Y75" i="4"/>
  <c r="P75" i="4"/>
  <c r="K75" i="4"/>
  <c r="P74" i="4"/>
  <c r="P73" i="4"/>
  <c r="P72" i="4"/>
  <c r="P71" i="4"/>
  <c r="C71" i="4"/>
  <c r="C37" i="4" s="1"/>
  <c r="Y70" i="4"/>
  <c r="K70" i="4"/>
  <c r="AD69" i="4"/>
  <c r="Y69" i="4"/>
  <c r="P69" i="4"/>
  <c r="P99" i="4" s="1"/>
  <c r="C69" i="4"/>
  <c r="C99" i="4" s="1"/>
  <c r="AD68" i="4"/>
  <c r="Y68" i="4"/>
  <c r="P68" i="4"/>
  <c r="K68" i="4"/>
  <c r="AD67" i="4"/>
  <c r="Y67" i="4"/>
  <c r="P67" i="4"/>
  <c r="C67" i="4"/>
  <c r="Y66" i="4"/>
  <c r="P66" i="4"/>
  <c r="K66" i="4"/>
  <c r="AD63" i="4"/>
  <c r="AD100" i="4" s="1"/>
  <c r="Y63" i="4"/>
  <c r="P63" i="4"/>
  <c r="K63" i="4"/>
  <c r="K100" i="4" s="1"/>
  <c r="AD62" i="4"/>
  <c r="Y62" i="4"/>
  <c r="P62" i="4"/>
  <c r="K62" i="4"/>
  <c r="AD61" i="4"/>
  <c r="Y61" i="4"/>
  <c r="P61" i="4"/>
  <c r="K61" i="4"/>
  <c r="AD60" i="4"/>
  <c r="Y60" i="4"/>
  <c r="P60" i="4"/>
  <c r="K60" i="4"/>
  <c r="AD59" i="4"/>
  <c r="Y59" i="4"/>
  <c r="P59" i="4"/>
  <c r="K59" i="4"/>
  <c r="AD58" i="4"/>
  <c r="Y58" i="4"/>
  <c r="P58" i="4"/>
  <c r="K58" i="4"/>
  <c r="AD57" i="4"/>
  <c r="Y57" i="4"/>
  <c r="P57" i="4"/>
  <c r="K57" i="4"/>
  <c r="AD56" i="4"/>
  <c r="Y56" i="4"/>
  <c r="P56" i="4"/>
  <c r="K56" i="4"/>
  <c r="AD55" i="4"/>
  <c r="Y55" i="4"/>
  <c r="P55" i="4"/>
  <c r="K55" i="4"/>
  <c r="AD53" i="4"/>
  <c r="Y53" i="4"/>
  <c r="Y29" i="4" s="1"/>
  <c r="P103" i="4"/>
  <c r="K103" i="4"/>
  <c r="G103" i="4" s="1"/>
  <c r="AD52" i="4"/>
  <c r="Y52" i="4"/>
  <c r="P52" i="4"/>
  <c r="K52" i="4"/>
  <c r="Y51" i="4"/>
  <c r="P51" i="4"/>
  <c r="K51" i="4"/>
  <c r="C51" i="4"/>
  <c r="P50" i="4"/>
  <c r="K50" i="4"/>
  <c r="AD49" i="4"/>
  <c r="K49" i="4"/>
  <c r="Y48" i="4"/>
  <c r="P48" i="4"/>
  <c r="K48" i="4"/>
  <c r="AD47" i="4"/>
  <c r="AD95" i="4" s="1"/>
  <c r="Y47" i="4"/>
  <c r="Y33" i="4" s="1"/>
  <c r="AL33" i="4" s="1"/>
  <c r="AS33" i="4" s="1"/>
  <c r="P47" i="4"/>
  <c r="K47" i="4"/>
  <c r="K33" i="4" s="1"/>
  <c r="AI33" i="4" s="1"/>
  <c r="AD46" i="4"/>
  <c r="Y46" i="4"/>
  <c r="P46" i="4"/>
  <c r="K46" i="4"/>
  <c r="AD45" i="4"/>
  <c r="Y45" i="4"/>
  <c r="P45" i="4"/>
  <c r="K45" i="4"/>
  <c r="AH39" i="4"/>
  <c r="C39" i="4"/>
  <c r="AH38" i="4"/>
  <c r="C38" i="4"/>
  <c r="AH37" i="4"/>
  <c r="AH36" i="4"/>
  <c r="AH35" i="4"/>
  <c r="AH34" i="4"/>
  <c r="C34" i="4"/>
  <c r="AH33" i="4"/>
  <c r="C33" i="4"/>
  <c r="C21" i="4" s="1"/>
  <c r="AH32" i="4"/>
  <c r="C32" i="4"/>
  <c r="C22" i="4" s="1"/>
  <c r="AH31" i="4"/>
  <c r="C31" i="4"/>
  <c r="AH30" i="4"/>
  <c r="C30" i="4"/>
  <c r="AH29" i="4"/>
  <c r="AH27" i="4"/>
  <c r="AD22" i="4"/>
  <c r="AD21" i="4"/>
  <c r="AC15" i="4"/>
  <c r="AA15" i="4"/>
  <c r="X15" i="4"/>
  <c r="W15" i="4"/>
  <c r="V15" i="4"/>
  <c r="R15" i="4"/>
  <c r="O15" i="4"/>
  <c r="N15" i="4"/>
  <c r="M15" i="4"/>
  <c r="J15" i="4"/>
  <c r="I15" i="4"/>
  <c r="H15" i="4"/>
  <c r="G15" i="4"/>
  <c r="F15" i="4"/>
  <c r="AC10" i="4"/>
  <c r="AA10" i="4"/>
  <c r="X10" i="4"/>
  <c r="W10" i="4"/>
  <c r="V10" i="4"/>
  <c r="R10" i="4"/>
  <c r="T10" i="4" s="1"/>
  <c r="O10" i="4"/>
  <c r="N10" i="4"/>
  <c r="M10" i="4"/>
  <c r="J10" i="4"/>
  <c r="I10" i="4"/>
  <c r="H10" i="4"/>
  <c r="G10" i="4"/>
  <c r="F10" i="4"/>
  <c r="AD8" i="4"/>
  <c r="Y8" i="4"/>
  <c r="P8" i="4"/>
  <c r="K8" i="4"/>
  <c r="AD3" i="4"/>
  <c r="AA3" i="4"/>
  <c r="C23" i="4" l="1"/>
  <c r="P36" i="4"/>
  <c r="Y36" i="4"/>
  <c r="AD103" i="4"/>
  <c r="AD29" i="4"/>
  <c r="K36" i="4"/>
  <c r="AI36" i="4" s="1"/>
  <c r="C36" i="4"/>
  <c r="C25" i="4" s="1"/>
  <c r="C109" i="4"/>
  <c r="Y32" i="4"/>
  <c r="AL32" i="4" s="1"/>
  <c r="AS32" i="4" s="1"/>
  <c r="AD32" i="4"/>
  <c r="AM32" i="4" s="1"/>
  <c r="AT32" i="4" s="1"/>
  <c r="AD33" i="4"/>
  <c r="AM33" i="4" s="1"/>
  <c r="AT33" i="4" s="1"/>
  <c r="BS33" i="4" s="1"/>
  <c r="Y35" i="4"/>
  <c r="AL35" i="4" s="1"/>
  <c r="AS35" i="4" s="1"/>
  <c r="K34" i="4"/>
  <c r="AI34" i="4" s="1"/>
  <c r="AJ36" i="4"/>
  <c r="AQ36" i="4" s="1"/>
  <c r="AL29" i="4"/>
  <c r="AS29" i="4" s="1"/>
  <c r="BF29" i="4" s="1"/>
  <c r="P38" i="4"/>
  <c r="AJ38" i="4" s="1"/>
  <c r="AQ38" i="4" s="1"/>
  <c r="P28" i="4"/>
  <c r="AJ28" i="4" s="1"/>
  <c r="AQ28" i="4" s="1"/>
  <c r="P31" i="4"/>
  <c r="AJ31" i="4" s="1"/>
  <c r="K69" i="4"/>
  <c r="AD71" i="4"/>
  <c r="D89" i="4"/>
  <c r="K109" i="4"/>
  <c r="P109" i="4"/>
  <c r="Y99" i="4"/>
  <c r="X99" i="4" s="1"/>
  <c r="Y103" i="4"/>
  <c r="AF103" i="4" s="1"/>
  <c r="Y109" i="4"/>
  <c r="AD99" i="4"/>
  <c r="K35" i="4"/>
  <c r="AI35" i="4" s="1"/>
  <c r="P34" i="4"/>
  <c r="AJ34" i="4" s="1"/>
  <c r="AQ34" i="4" s="1"/>
  <c r="BD34" i="4" s="1"/>
  <c r="AM29" i="4"/>
  <c r="AT29" i="4" s="1"/>
  <c r="BG29" i="4" s="1"/>
  <c r="Y38" i="4"/>
  <c r="AL38" i="4" s="1"/>
  <c r="AS38" i="4" s="1"/>
  <c r="Y28" i="4"/>
  <c r="AL28" i="4" s="1"/>
  <c r="AS28" i="4" s="1"/>
  <c r="AD31" i="4"/>
  <c r="AM31" i="4" s="1"/>
  <c r="AT31" i="4" s="1"/>
  <c r="BG31" i="4" s="1"/>
  <c r="Y27" i="4"/>
  <c r="AL27" i="4" s="1"/>
  <c r="P37" i="4"/>
  <c r="AJ37" i="4" s="1"/>
  <c r="AQ37" i="4" s="1"/>
  <c r="BP37" i="4" s="1"/>
  <c r="K104" i="4"/>
  <c r="K110" i="4"/>
  <c r="P100" i="4"/>
  <c r="P104" i="4"/>
  <c r="P110" i="4"/>
  <c r="Y100" i="4"/>
  <c r="Y104" i="4"/>
  <c r="AD104" i="4"/>
  <c r="AP33" i="4"/>
  <c r="AL36" i="4"/>
  <c r="AS36" i="4" s="1"/>
  <c r="P32" i="4"/>
  <c r="AJ32" i="4" s="1"/>
  <c r="AQ32" i="4" s="1"/>
  <c r="P33" i="4"/>
  <c r="AJ33" i="4" s="1"/>
  <c r="AQ33" i="4" s="1"/>
  <c r="P35" i="4"/>
  <c r="AJ35" i="4" s="1"/>
  <c r="AQ35" i="4" s="1"/>
  <c r="AI29" i="4"/>
  <c r="K30" i="4"/>
  <c r="AI30" i="4" s="1"/>
  <c r="AD38" i="4"/>
  <c r="AM38" i="4" s="1"/>
  <c r="AT38" i="4" s="1"/>
  <c r="AD28" i="4"/>
  <c r="AM28" i="4" s="1"/>
  <c r="AT28" i="4" s="1"/>
  <c r="C35" i="4"/>
  <c r="C24" i="4" s="1"/>
  <c r="C101" i="4"/>
  <c r="AD27" i="4"/>
  <c r="AM27" i="4" s="1"/>
  <c r="AT27" i="4" s="1"/>
  <c r="CE27" i="4" s="1"/>
  <c r="K95" i="4"/>
  <c r="P95" i="4"/>
  <c r="P101" i="4"/>
  <c r="P107" i="4"/>
  <c r="O107" i="4" s="1"/>
  <c r="Y95" i="4"/>
  <c r="Y101" i="4"/>
  <c r="AD101" i="4"/>
  <c r="AD107" i="4"/>
  <c r="AC107" i="4" s="1"/>
  <c r="T35" i="4"/>
  <c r="R109" i="4" s="1"/>
  <c r="AJ29" i="4"/>
  <c r="AQ29" i="4" s="1"/>
  <c r="BD29" i="4" s="1"/>
  <c r="K38" i="4"/>
  <c r="AI38" i="4" s="1"/>
  <c r="K28" i="4"/>
  <c r="AI28" i="4" s="1"/>
  <c r="N99" i="4"/>
  <c r="P27" i="4"/>
  <c r="AJ27" i="4" s="1"/>
  <c r="K27" i="4"/>
  <c r="AI27" i="4" s="1"/>
  <c r="AP27" i="4" s="1"/>
  <c r="C27" i="4"/>
  <c r="C19" i="4" s="1"/>
  <c r="AC95" i="4"/>
  <c r="K102" i="4"/>
  <c r="K108" i="4"/>
  <c r="P96" i="4"/>
  <c r="P102" i="4"/>
  <c r="Y102" i="4"/>
  <c r="AD102" i="4"/>
  <c r="AD10" i="4"/>
  <c r="CA39" i="4"/>
  <c r="BO39" i="4"/>
  <c r="BC39" i="4"/>
  <c r="CA33" i="4"/>
  <c r="BO33" i="4"/>
  <c r="BC33" i="4"/>
  <c r="CA31" i="4"/>
  <c r="BO31" i="4"/>
  <c r="CC29" i="4"/>
  <c r="BQ29" i="4"/>
  <c r="CE30" i="4"/>
  <c r="BS30" i="4"/>
  <c r="CE33" i="4"/>
  <c r="BR29" i="4"/>
  <c r="CB30" i="4"/>
  <c r="BP30" i="4"/>
  <c r="CD31" i="4"/>
  <c r="BR31" i="4"/>
  <c r="CD32" i="4"/>
  <c r="BR32" i="4"/>
  <c r="BF32" i="4"/>
  <c r="CD34" i="4"/>
  <c r="BR34" i="4"/>
  <c r="BF34" i="4"/>
  <c r="BE38" i="4"/>
  <c r="CC38" i="4"/>
  <c r="BQ38" i="4"/>
  <c r="BD39" i="4"/>
  <c r="CB39" i="4"/>
  <c r="BP39" i="4"/>
  <c r="CC36" i="4"/>
  <c r="BQ36" i="4"/>
  <c r="BE36" i="4"/>
  <c r="BS29" i="4"/>
  <c r="CC33" i="4"/>
  <c r="BQ33" i="4"/>
  <c r="BE33" i="4"/>
  <c r="CE34" i="4"/>
  <c r="BS34" i="4"/>
  <c r="BG34" i="4"/>
  <c r="CC37" i="4"/>
  <c r="BQ37" i="4"/>
  <c r="BE37" i="4"/>
  <c r="CC39" i="4"/>
  <c r="BQ39" i="4"/>
  <c r="BE39" i="4"/>
  <c r="CC30" i="4"/>
  <c r="BQ30" i="4"/>
  <c r="BG32" i="4"/>
  <c r="CE32" i="4"/>
  <c r="BS32" i="4"/>
  <c r="CB29" i="4"/>
  <c r="CD30" i="4"/>
  <c r="BR30" i="4"/>
  <c r="BF33" i="4"/>
  <c r="CD33" i="4"/>
  <c r="BR33" i="4"/>
  <c r="CB34" i="4"/>
  <c r="CB36" i="4"/>
  <c r="BP36" i="4"/>
  <c r="BD36" i="4"/>
  <c r="CD39" i="4"/>
  <c r="BR39" i="4"/>
  <c r="BF39" i="4"/>
  <c r="CB32" i="4"/>
  <c r="BP32" i="4"/>
  <c r="BD32" i="4"/>
  <c r="CC27" i="4"/>
  <c r="BQ27" i="4"/>
  <c r="BE27" i="4"/>
  <c r="CC31" i="4"/>
  <c r="BQ31" i="4"/>
  <c r="BE34" i="4"/>
  <c r="CC34" i="4"/>
  <c r="BQ34" i="4"/>
  <c r="CE39" i="4"/>
  <c r="BS39" i="4"/>
  <c r="BG39" i="4"/>
  <c r="BS27" i="4"/>
  <c r="CC32" i="4"/>
  <c r="BQ32" i="4"/>
  <c r="BE32" i="4"/>
  <c r="AQ27" i="4"/>
  <c r="AC100" i="4"/>
  <c r="AC99" i="4"/>
  <c r="AC112" i="4" s="1"/>
  <c r="AC113" i="4" s="1"/>
  <c r="AC114" i="4" s="1"/>
  <c r="V103" i="4"/>
  <c r="D59" i="4"/>
  <c r="W17" i="4"/>
  <c r="D49" i="4"/>
  <c r="C93" i="4"/>
  <c r="D84" i="4"/>
  <c r="J17" i="4"/>
  <c r="V17" i="4"/>
  <c r="AC17" i="4"/>
  <c r="AC23" i="4" s="1"/>
  <c r="D46" i="4"/>
  <c r="D50" i="4"/>
  <c r="D34" i="4" s="1"/>
  <c r="D62" i="4"/>
  <c r="D88" i="4"/>
  <c r="D58" i="4"/>
  <c r="P10" i="4"/>
  <c r="AD51" i="4"/>
  <c r="AD36" i="4" s="1"/>
  <c r="AB109" i="4" s="1"/>
  <c r="G17" i="4"/>
  <c r="G19" i="4" s="1"/>
  <c r="O17" i="4"/>
  <c r="O19" i="4" s="1"/>
  <c r="F17" i="4"/>
  <c r="K67" i="4"/>
  <c r="D67" i="4" s="1"/>
  <c r="D76" i="4"/>
  <c r="H17" i="4"/>
  <c r="H19" i="4" s="1"/>
  <c r="N17" i="4"/>
  <c r="N21" i="4" s="1"/>
  <c r="D47" i="4"/>
  <c r="D82" i="4"/>
  <c r="D86" i="4"/>
  <c r="D87" i="4"/>
  <c r="I17" i="4"/>
  <c r="I22" i="4" s="1"/>
  <c r="D61" i="4"/>
  <c r="D69" i="4"/>
  <c r="D70" i="4"/>
  <c r="D75" i="4"/>
  <c r="D81" i="4"/>
  <c r="D92" i="4"/>
  <c r="M17" i="4"/>
  <c r="Y10" i="4"/>
  <c r="R17" i="4"/>
  <c r="AA17" i="4"/>
  <c r="D60" i="4"/>
  <c r="D65" i="4"/>
  <c r="D31" i="4" s="1"/>
  <c r="D68" i="4"/>
  <c r="D85" i="4"/>
  <c r="K10" i="4"/>
  <c r="W23" i="4"/>
  <c r="W19" i="4" s="1"/>
  <c r="AF8" i="4"/>
  <c r="N19" i="4"/>
  <c r="X17" i="4"/>
  <c r="J20" i="4"/>
  <c r="J23" i="4"/>
  <c r="F19" i="4"/>
  <c r="D53" i="4"/>
  <c r="N103" i="4"/>
  <c r="D57" i="4"/>
  <c r="D63" i="4"/>
  <c r="D28" i="4" s="1"/>
  <c r="D95" i="4"/>
  <c r="D45" i="4"/>
  <c r="D83" i="4"/>
  <c r="P93" i="4"/>
  <c r="D56" i="4"/>
  <c r="D48" i="4"/>
  <c r="D103" i="4"/>
  <c r="D55" i="4"/>
  <c r="D66" i="4"/>
  <c r="O99" i="4"/>
  <c r="D52" i="4"/>
  <c r="J102" i="4"/>
  <c r="D54" i="4"/>
  <c r="D30" i="4" s="1"/>
  <c r="D90" i="4"/>
  <c r="T93" i="4"/>
  <c r="D102" i="4"/>
  <c r="C96" i="4"/>
  <c r="W108" i="4"/>
  <c r="D64" i="4"/>
  <c r="AE27" i="1"/>
  <c r="AE28" i="1"/>
  <c r="AE29" i="1"/>
  <c r="AE30" i="1"/>
  <c r="AE31" i="1"/>
  <c r="AE32" i="1"/>
  <c r="AE33" i="1"/>
  <c r="AE34" i="1"/>
  <c r="AE35" i="1"/>
  <c r="AE36" i="1"/>
  <c r="AE37" i="1"/>
  <c r="AE26" i="1"/>
  <c r="V99" i="4" l="1"/>
  <c r="D29" i="4"/>
  <c r="AD109" i="4"/>
  <c r="AA23" i="4"/>
  <c r="AD25" i="4" s="1"/>
  <c r="AA24" i="4"/>
  <c r="AD24" i="4" s="1"/>
  <c r="D110" i="4"/>
  <c r="D107" i="4"/>
  <c r="W99" i="4"/>
  <c r="R40" i="4"/>
  <c r="R24" i="4"/>
  <c r="T24" i="4" s="1"/>
  <c r="T17" i="4"/>
  <c r="T40" i="4" s="1"/>
  <c r="CE29" i="4"/>
  <c r="BG27" i="4"/>
  <c r="BP34" i="4"/>
  <c r="CB37" i="4"/>
  <c r="D38" i="4"/>
  <c r="N95" i="4"/>
  <c r="N40" i="4" s="1"/>
  <c r="O95" i="4"/>
  <c r="AF100" i="4"/>
  <c r="D27" i="4"/>
  <c r="D19" i="4" s="1"/>
  <c r="V23" i="4"/>
  <c r="V19" i="4" s="1"/>
  <c r="AF108" i="4"/>
  <c r="H108" i="4"/>
  <c r="K22" i="4"/>
  <c r="AF22" i="4" s="1"/>
  <c r="AJ23" i="4"/>
  <c r="K23" i="4"/>
  <c r="K20" i="4"/>
  <c r="AF20" i="4" s="1"/>
  <c r="AN27" i="4"/>
  <c r="D33" i="4"/>
  <c r="D21" i="4" s="1"/>
  <c r="CD29" i="4"/>
  <c r="AF25" i="4"/>
  <c r="BS31" i="4"/>
  <c r="CE31" i="4"/>
  <c r="D35" i="4"/>
  <c r="D24" i="4" s="1"/>
  <c r="C40" i="4"/>
  <c r="AK35" i="4"/>
  <c r="AR35" i="4" s="1"/>
  <c r="CC35" i="4" s="1"/>
  <c r="CC40" i="4" s="1"/>
  <c r="BD37" i="4"/>
  <c r="BP29" i="4"/>
  <c r="BG33" i="4"/>
  <c r="AJ40" i="4"/>
  <c r="AQ40" i="4" s="1"/>
  <c r="O40" i="4"/>
  <c r="AP38" i="4"/>
  <c r="AU38" i="4" s="1"/>
  <c r="AN38" i="4"/>
  <c r="AN29" i="4"/>
  <c r="AP29" i="4"/>
  <c r="AD35" i="4"/>
  <c r="AA109" i="4" s="1"/>
  <c r="AQ31" i="4"/>
  <c r="CB31" i="4" s="1"/>
  <c r="AN31" i="4"/>
  <c r="K101" i="4"/>
  <c r="AF101" i="4" s="1"/>
  <c r="D51" i="4"/>
  <c r="BF28" i="4"/>
  <c r="CD28" i="4"/>
  <c r="BR28" i="4"/>
  <c r="AP35" i="4"/>
  <c r="P17" i="4"/>
  <c r="P40" i="4" s="1"/>
  <c r="AF95" i="4"/>
  <c r="BS28" i="4"/>
  <c r="BG28" i="4"/>
  <c r="CE28" i="4"/>
  <c r="AN30" i="4"/>
  <c r="AP30" i="4"/>
  <c r="BO30" i="4" s="1"/>
  <c r="AN33" i="4"/>
  <c r="AF110" i="4"/>
  <c r="AM36" i="4"/>
  <c r="AT36" i="4" s="1"/>
  <c r="CE36" i="4" s="1"/>
  <c r="D32" i="4"/>
  <c r="D22" i="4" s="1"/>
  <c r="AF102" i="4"/>
  <c r="AP28" i="4"/>
  <c r="AN28" i="4"/>
  <c r="AF107" i="4"/>
  <c r="AP36" i="4"/>
  <c r="BC36" i="4" s="1"/>
  <c r="AU33" i="4"/>
  <c r="AF104" i="4"/>
  <c r="K32" i="4"/>
  <c r="AI32" i="4" s="1"/>
  <c r="AD37" i="4"/>
  <c r="AM37" i="4" s="1"/>
  <c r="AT37" i="4" s="1"/>
  <c r="BS37" i="4" s="1"/>
  <c r="AD96" i="4"/>
  <c r="K99" i="4"/>
  <c r="H99" i="4" s="1"/>
  <c r="CB28" i="4"/>
  <c r="BP28" i="4"/>
  <c r="BD28" i="4"/>
  <c r="AN34" i="4"/>
  <c r="AP34" i="4"/>
  <c r="AU34" i="4" s="1"/>
  <c r="AC19" i="4"/>
  <c r="AD19" i="4" s="1"/>
  <c r="AF10" i="4"/>
  <c r="Y17" i="4"/>
  <c r="BO34" i="4"/>
  <c r="BO27" i="4"/>
  <c r="BC27" i="4"/>
  <c r="CA27" i="4"/>
  <c r="CB38" i="4"/>
  <c r="BP38" i="4"/>
  <c r="BD38" i="4"/>
  <c r="BG36" i="4"/>
  <c r="BS36" i="4"/>
  <c r="BD35" i="4"/>
  <c r="CB35" i="4"/>
  <c r="BP35" i="4"/>
  <c r="CB33" i="4"/>
  <c r="BP33" i="4"/>
  <c r="BD33" i="4"/>
  <c r="BD27" i="4"/>
  <c r="CB27" i="4"/>
  <c r="BP27" i="4"/>
  <c r="CD36" i="4"/>
  <c r="BR36" i="4"/>
  <c r="BF36" i="4"/>
  <c r="CD35" i="4"/>
  <c r="BR35" i="4"/>
  <c r="BF35" i="4"/>
  <c r="CD38" i="4"/>
  <c r="BR38" i="4"/>
  <c r="BF38" i="4"/>
  <c r="CE38" i="4"/>
  <c r="BS38" i="4"/>
  <c r="BG38" i="4"/>
  <c r="AS27" i="4"/>
  <c r="AU27" i="4" s="1"/>
  <c r="M21" i="4"/>
  <c r="M19" i="4"/>
  <c r="P19" i="4" s="1"/>
  <c r="K17" i="4"/>
  <c r="K19" i="4"/>
  <c r="AD17" i="4"/>
  <c r="D100" i="4"/>
  <c r="AD93" i="4"/>
  <c r="D101" i="4"/>
  <c r="I101" i="4"/>
  <c r="I40" i="4" s="1"/>
  <c r="D108" i="4"/>
  <c r="V100" i="4"/>
  <c r="X100" i="4"/>
  <c r="X96" i="4" s="1"/>
  <c r="W100" i="4"/>
  <c r="M3" i="4"/>
  <c r="K3" i="4"/>
  <c r="J104" i="4"/>
  <c r="D104" i="4"/>
  <c r="X23" i="4"/>
  <c r="AD23" i="4"/>
  <c r="AI23" i="4" s="1"/>
  <c r="AP38" i="1"/>
  <c r="P63" i="1"/>
  <c r="K63" i="1"/>
  <c r="P65" i="1"/>
  <c r="K53" i="1"/>
  <c r="AA65" i="1"/>
  <c r="W63" i="1"/>
  <c r="AA63" i="1"/>
  <c r="AA62" i="1"/>
  <c r="W62" i="1"/>
  <c r="W96" i="4" l="1"/>
  <c r="AF24" i="4"/>
  <c r="D36" i="4"/>
  <c r="D25" i="4" s="1"/>
  <c r="BQ35" i="4"/>
  <c r="BQ40" i="4" s="1"/>
  <c r="BO36" i="4"/>
  <c r="CA36" i="4"/>
  <c r="Y74" i="4"/>
  <c r="K74" i="4" s="1"/>
  <c r="Y73" i="4"/>
  <c r="K73" i="4" s="1"/>
  <c r="D73" i="4" s="1"/>
  <c r="Y72" i="4"/>
  <c r="K72" i="4" s="1"/>
  <c r="D72" i="4" s="1"/>
  <c r="Y71" i="4"/>
  <c r="K71" i="4" s="1"/>
  <c r="BG37" i="4"/>
  <c r="BC34" i="4"/>
  <c r="AC96" i="4"/>
  <c r="AC40" i="4" s="1"/>
  <c r="AA96" i="4"/>
  <c r="AA40" i="4" s="1"/>
  <c r="AB96" i="4"/>
  <c r="AB40" i="4" s="1"/>
  <c r="Y23" i="4"/>
  <c r="AH23" i="4" s="1"/>
  <c r="CA34" i="4"/>
  <c r="P21" i="4"/>
  <c r="AF21" i="4" s="1"/>
  <c r="AK40" i="4"/>
  <c r="AR40" i="4" s="1"/>
  <c r="BO38" i="4"/>
  <c r="CE37" i="4"/>
  <c r="CA38" i="4"/>
  <c r="BP31" i="4"/>
  <c r="BP40" i="4" s="1"/>
  <c r="BC38" i="4"/>
  <c r="CA30" i="4"/>
  <c r="AN36" i="4"/>
  <c r="D109" i="4"/>
  <c r="AF17" i="4"/>
  <c r="BE35" i="4"/>
  <c r="BE40" i="4" s="1"/>
  <c r="AF109" i="4"/>
  <c r="AM35" i="4"/>
  <c r="AN35" i="4" s="1"/>
  <c r="AD40" i="4"/>
  <c r="AU36" i="4"/>
  <c r="H40" i="4"/>
  <c r="AF99" i="4"/>
  <c r="D99" i="4"/>
  <c r="AU29" i="4"/>
  <c r="BC29" i="4"/>
  <c r="BO29" i="4"/>
  <c r="CA29" i="4"/>
  <c r="G40" i="4"/>
  <c r="CA35" i="4"/>
  <c r="BO35" i="4"/>
  <c r="BC35" i="4"/>
  <c r="BD31" i="4"/>
  <c r="BD40" i="4" s="1"/>
  <c r="AU31" i="4"/>
  <c r="AP32" i="4"/>
  <c r="AN32" i="4"/>
  <c r="BO28" i="4"/>
  <c r="BC28" i="4"/>
  <c r="AU28" i="4"/>
  <c r="CA28" i="4"/>
  <c r="AU30" i="4"/>
  <c r="BC30" i="4"/>
  <c r="CD27" i="4"/>
  <c r="BR27" i="4"/>
  <c r="BF27" i="4"/>
  <c r="CB40" i="4"/>
  <c r="X19" i="4"/>
  <c r="Y19" i="4" s="1"/>
  <c r="AF19" i="4" s="1"/>
  <c r="X40" i="4"/>
  <c r="W40" i="4"/>
  <c r="W29" i="1"/>
  <c r="AI29" i="1" s="1"/>
  <c r="AO29" i="1" s="1"/>
  <c r="AU29" i="1" s="1"/>
  <c r="P29" i="1"/>
  <c r="AG29" i="1" s="1"/>
  <c r="AM29" i="1" s="1"/>
  <c r="AS29" i="1" s="1"/>
  <c r="AA37" i="1"/>
  <c r="AJ37" i="1" s="1"/>
  <c r="AP37" i="1" s="1"/>
  <c r="AV37" i="1" s="1"/>
  <c r="Z37" i="1"/>
  <c r="Y37" i="1"/>
  <c r="Z36" i="1"/>
  <c r="Y36" i="1"/>
  <c r="Z35" i="1"/>
  <c r="Y35" i="1"/>
  <c r="Z34" i="1"/>
  <c r="Y34" i="1"/>
  <c r="Z33" i="1"/>
  <c r="Y33" i="1"/>
  <c r="AA32" i="1"/>
  <c r="AJ32" i="1" s="1"/>
  <c r="AP32" i="1" s="1"/>
  <c r="AV32" i="1" s="1"/>
  <c r="Z32" i="1"/>
  <c r="Y32" i="1"/>
  <c r="Z31" i="1"/>
  <c r="Y31" i="1"/>
  <c r="Z30" i="1"/>
  <c r="Y30" i="1"/>
  <c r="AA29" i="1"/>
  <c r="AJ29" i="1" s="1"/>
  <c r="AP29" i="1" s="1"/>
  <c r="AV29" i="1" s="1"/>
  <c r="Z29" i="1"/>
  <c r="Y29" i="1"/>
  <c r="AA28" i="1"/>
  <c r="AJ28" i="1" s="1"/>
  <c r="AP28" i="1" s="1"/>
  <c r="AV28" i="1" s="1"/>
  <c r="Z28" i="1"/>
  <c r="Y28" i="1"/>
  <c r="Z27" i="1"/>
  <c r="Y27" i="1"/>
  <c r="Z26" i="1"/>
  <c r="Y26" i="1"/>
  <c r="W37" i="1"/>
  <c r="AI37" i="1" s="1"/>
  <c r="AO37" i="1" s="1"/>
  <c r="AU37" i="1" s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W32" i="1"/>
  <c r="AI32" i="1" s="1"/>
  <c r="AO32" i="1" s="1"/>
  <c r="AU32" i="1" s="1"/>
  <c r="V32" i="1"/>
  <c r="U32" i="1"/>
  <c r="T32" i="1"/>
  <c r="V31" i="1"/>
  <c r="U31" i="1"/>
  <c r="T31" i="1"/>
  <c r="V30" i="1"/>
  <c r="U30" i="1"/>
  <c r="T30" i="1"/>
  <c r="V29" i="1"/>
  <c r="U29" i="1"/>
  <c r="T29" i="1"/>
  <c r="W28" i="1"/>
  <c r="AI28" i="1" s="1"/>
  <c r="AO28" i="1" s="1"/>
  <c r="AU28" i="1" s="1"/>
  <c r="V28" i="1"/>
  <c r="U28" i="1"/>
  <c r="T28" i="1"/>
  <c r="V27" i="1"/>
  <c r="U27" i="1"/>
  <c r="T27" i="1"/>
  <c r="V26" i="1"/>
  <c r="U26" i="1"/>
  <c r="T26" i="1"/>
  <c r="R37" i="1"/>
  <c r="AH37" i="1" s="1"/>
  <c r="AN37" i="1" s="1"/>
  <c r="AT37" i="1" s="1"/>
  <c r="R36" i="1"/>
  <c r="AH36" i="1" s="1"/>
  <c r="AN36" i="1" s="1"/>
  <c r="AT36" i="1" s="1"/>
  <c r="R35" i="1"/>
  <c r="AH35" i="1" s="1"/>
  <c r="AN35" i="1" s="1"/>
  <c r="AT35" i="1" s="1"/>
  <c r="R34" i="1"/>
  <c r="AH34" i="1" s="1"/>
  <c r="AN34" i="1" s="1"/>
  <c r="AT34" i="1" s="1"/>
  <c r="R32" i="1"/>
  <c r="AH32" i="1" s="1"/>
  <c r="AN32" i="1" s="1"/>
  <c r="AT32" i="1" s="1"/>
  <c r="R31" i="1"/>
  <c r="AH31" i="1" s="1"/>
  <c r="AN31" i="1" s="1"/>
  <c r="AT31" i="1" s="1"/>
  <c r="R30" i="1"/>
  <c r="AH30" i="1" s="1"/>
  <c r="AN30" i="1" s="1"/>
  <c r="AT30" i="1" s="1"/>
  <c r="R29" i="1"/>
  <c r="AH29" i="1" s="1"/>
  <c r="AN29" i="1" s="1"/>
  <c r="AT29" i="1" s="1"/>
  <c r="R28" i="1"/>
  <c r="AH28" i="1" s="1"/>
  <c r="AN28" i="1" s="1"/>
  <c r="AT28" i="1" s="1"/>
  <c r="R27" i="1"/>
  <c r="AH27" i="1" s="1"/>
  <c r="AN27" i="1" s="1"/>
  <c r="AT27" i="1" s="1"/>
  <c r="R26" i="1"/>
  <c r="AH26" i="1" s="1"/>
  <c r="P37" i="1"/>
  <c r="AG37" i="1" s="1"/>
  <c r="AM37" i="1" s="1"/>
  <c r="AS37" i="1" s="1"/>
  <c r="O37" i="1"/>
  <c r="N37" i="1"/>
  <c r="M37" i="1"/>
  <c r="O36" i="1"/>
  <c r="N36" i="1"/>
  <c r="M36" i="1"/>
  <c r="O35" i="1"/>
  <c r="N35" i="1"/>
  <c r="M35" i="1"/>
  <c r="O34" i="1"/>
  <c r="N34" i="1"/>
  <c r="M34" i="1"/>
  <c r="O33" i="1"/>
  <c r="N33" i="1"/>
  <c r="M33" i="1"/>
  <c r="O32" i="1"/>
  <c r="N32" i="1"/>
  <c r="M32" i="1"/>
  <c r="O31" i="1"/>
  <c r="N31" i="1"/>
  <c r="M31" i="1"/>
  <c r="O30" i="1"/>
  <c r="N30" i="1"/>
  <c r="M30" i="1"/>
  <c r="O29" i="1"/>
  <c r="N29" i="1"/>
  <c r="M29" i="1"/>
  <c r="P28" i="1"/>
  <c r="AG28" i="1" s="1"/>
  <c r="AM28" i="1" s="1"/>
  <c r="AS28" i="1" s="1"/>
  <c r="O28" i="1"/>
  <c r="N28" i="1"/>
  <c r="M28" i="1"/>
  <c r="O27" i="1"/>
  <c r="N27" i="1"/>
  <c r="M27" i="1"/>
  <c r="O26" i="1"/>
  <c r="N26" i="1"/>
  <c r="M26" i="1"/>
  <c r="K37" i="1"/>
  <c r="AF37" i="1" s="1"/>
  <c r="AL37" i="1" s="1"/>
  <c r="AR37" i="1" s="1"/>
  <c r="J37" i="1"/>
  <c r="I37" i="1"/>
  <c r="H37" i="1"/>
  <c r="G37" i="1"/>
  <c r="F37" i="1"/>
  <c r="J36" i="1"/>
  <c r="I36" i="1"/>
  <c r="H36" i="1"/>
  <c r="G36" i="1"/>
  <c r="F36" i="1"/>
  <c r="J35" i="1"/>
  <c r="I35" i="1"/>
  <c r="H35" i="1"/>
  <c r="G35" i="1"/>
  <c r="F35" i="1"/>
  <c r="J34" i="1"/>
  <c r="I34" i="1"/>
  <c r="H34" i="1"/>
  <c r="G34" i="1"/>
  <c r="F34" i="1"/>
  <c r="J33" i="1"/>
  <c r="I33" i="1"/>
  <c r="H33" i="1"/>
  <c r="G33" i="1"/>
  <c r="F33" i="1"/>
  <c r="J32" i="1"/>
  <c r="I32" i="1"/>
  <c r="H32" i="1"/>
  <c r="G32" i="1"/>
  <c r="F32" i="1"/>
  <c r="J31" i="1"/>
  <c r="I31" i="1"/>
  <c r="H31" i="1"/>
  <c r="G31" i="1"/>
  <c r="F31" i="1"/>
  <c r="J30" i="1"/>
  <c r="I30" i="1"/>
  <c r="H30" i="1"/>
  <c r="G30" i="1"/>
  <c r="F30" i="1"/>
  <c r="K29" i="1"/>
  <c r="AF29" i="1" s="1"/>
  <c r="AL29" i="1" s="1"/>
  <c r="AR29" i="1" s="1"/>
  <c r="J29" i="1"/>
  <c r="I29" i="1"/>
  <c r="H29" i="1"/>
  <c r="G29" i="1"/>
  <c r="F29" i="1"/>
  <c r="K28" i="1"/>
  <c r="AF28" i="1" s="1"/>
  <c r="AL28" i="1" s="1"/>
  <c r="AR28" i="1" s="1"/>
  <c r="J28" i="1"/>
  <c r="I28" i="1"/>
  <c r="H28" i="1"/>
  <c r="G28" i="1"/>
  <c r="F28" i="1"/>
  <c r="J27" i="1"/>
  <c r="I27" i="1"/>
  <c r="H27" i="1"/>
  <c r="G27" i="1"/>
  <c r="F27" i="1"/>
  <c r="J26" i="1"/>
  <c r="I26" i="1"/>
  <c r="H26" i="1"/>
  <c r="G26" i="1"/>
  <c r="F26" i="1"/>
  <c r="P52" i="1"/>
  <c r="P27" i="1" s="1"/>
  <c r="AG27" i="1" s="1"/>
  <c r="AM27" i="1" s="1"/>
  <c r="AS27" i="1" s="1"/>
  <c r="W52" i="1"/>
  <c r="W27" i="1" s="1"/>
  <c r="AI27" i="1" s="1"/>
  <c r="AO27" i="1" s="1"/>
  <c r="AU27" i="1" s="1"/>
  <c r="K52" i="1"/>
  <c r="K27" i="1" s="1"/>
  <c r="AF27" i="1" s="1"/>
  <c r="AL27" i="1" s="1"/>
  <c r="AR27" i="1" s="1"/>
  <c r="AF23" i="4" l="1"/>
  <c r="AG23" i="4" s="1"/>
  <c r="AN26" i="1"/>
  <c r="AT26" i="1" s="1"/>
  <c r="D74" i="4"/>
  <c r="K96" i="4"/>
  <c r="J96" i="4" s="1"/>
  <c r="J40" i="4" s="1"/>
  <c r="K93" i="4"/>
  <c r="K40" i="4" s="1"/>
  <c r="K37" i="4"/>
  <c r="AI37" i="4" s="1"/>
  <c r="AM40" i="4"/>
  <c r="AT40" i="4" s="1"/>
  <c r="AT35" i="4"/>
  <c r="AU35" i="4" s="1"/>
  <c r="AU32" i="4"/>
  <c r="BO32" i="4"/>
  <c r="BC32" i="4"/>
  <c r="CA32" i="4"/>
  <c r="C66" i="1"/>
  <c r="R66" i="1" s="1"/>
  <c r="C72" i="1"/>
  <c r="D37" i="1"/>
  <c r="AA51" i="1"/>
  <c r="C70" i="1"/>
  <c r="AA48" i="1"/>
  <c r="C67" i="1"/>
  <c r="AP37" i="4" l="1"/>
  <c r="AI40" i="4"/>
  <c r="AP40" i="4" s="1"/>
  <c r="BS35" i="4"/>
  <c r="BS40" i="4" s="1"/>
  <c r="BG35" i="4"/>
  <c r="BG40" i="4" s="1"/>
  <c r="CE35" i="4"/>
  <c r="CE40" i="4" s="1"/>
  <c r="AA66" i="1"/>
  <c r="BG41" i="4" l="1"/>
  <c r="BG42" i="4" s="1"/>
  <c r="BS41" i="4"/>
  <c r="BS42" i="4" s="1"/>
  <c r="CE41" i="4"/>
  <c r="CE42" i="4" s="1"/>
  <c r="BC37" i="4"/>
  <c r="BC40" i="4" s="1"/>
  <c r="CA37" i="4"/>
  <c r="CA40" i="4" s="1"/>
  <c r="BO37" i="4"/>
  <c r="BO40" i="4" s="1"/>
  <c r="K55" i="1"/>
  <c r="K56" i="1"/>
  <c r="K57" i="1"/>
  <c r="K54" i="1"/>
  <c r="K47" i="1"/>
  <c r="K44" i="1"/>
  <c r="CA41" i="4" l="1"/>
  <c r="CA42" i="4" s="1"/>
  <c r="BC41" i="4"/>
  <c r="BC42" i="4" s="1"/>
  <c r="BO41" i="4"/>
  <c r="BO42" i="4" s="1"/>
  <c r="T10" i="1"/>
  <c r="P97" i="1"/>
  <c r="K106" i="1"/>
  <c r="G106" i="1" s="1"/>
  <c r="K105" i="1"/>
  <c r="K100" i="1"/>
  <c r="J100" i="1" s="1"/>
  <c r="K97" i="1"/>
  <c r="G97" i="1" s="1"/>
  <c r="P106" i="1"/>
  <c r="AC95" i="1"/>
  <c r="AC96" i="1"/>
  <c r="AC103" i="1"/>
  <c r="AC104" i="1"/>
  <c r="AA108" i="1"/>
  <c r="AA106" i="1"/>
  <c r="AA97" i="1"/>
  <c r="Z97" i="1" s="1"/>
  <c r="W108" i="1"/>
  <c r="W106" i="1"/>
  <c r="W105" i="1"/>
  <c r="W97" i="1"/>
  <c r="R108" i="1"/>
  <c r="R106" i="1"/>
  <c r="R105" i="1"/>
  <c r="R102" i="1"/>
  <c r="R101" i="1"/>
  <c r="R100" i="1"/>
  <c r="R99" i="1"/>
  <c r="R98" i="1"/>
  <c r="R97" i="1"/>
  <c r="R94" i="1"/>
  <c r="R93" i="1"/>
  <c r="C99" i="1"/>
  <c r="C100" i="1"/>
  <c r="K88" i="1"/>
  <c r="K102" i="1" s="1"/>
  <c r="J102" i="1" s="1"/>
  <c r="K87" i="1"/>
  <c r="K36" i="1" s="1"/>
  <c r="AF36" i="1" s="1"/>
  <c r="AL36" i="1" s="1"/>
  <c r="AR36" i="1" s="1"/>
  <c r="AA81" i="1"/>
  <c r="AA77" i="1"/>
  <c r="AA76" i="1"/>
  <c r="R77" i="1"/>
  <c r="R76" i="1"/>
  <c r="AA73" i="1"/>
  <c r="AA74" i="1"/>
  <c r="AA75" i="1"/>
  <c r="W73" i="1"/>
  <c r="W74" i="1"/>
  <c r="W75" i="1"/>
  <c r="W94" i="1" s="1"/>
  <c r="V94" i="1" s="1"/>
  <c r="AA72" i="1"/>
  <c r="W72" i="1"/>
  <c r="K73" i="1"/>
  <c r="K74" i="1"/>
  <c r="K75" i="1"/>
  <c r="K72" i="1"/>
  <c r="W35" i="1" l="1"/>
  <c r="AI35" i="1" s="1"/>
  <c r="AO35" i="1" s="1"/>
  <c r="AU35" i="1" s="1"/>
  <c r="T97" i="1"/>
  <c r="U97" i="1"/>
  <c r="V97" i="1"/>
  <c r="AA94" i="1"/>
  <c r="AA35" i="1"/>
  <c r="AJ35" i="1" s="1"/>
  <c r="AP35" i="1" s="1"/>
  <c r="AV35" i="1" s="1"/>
  <c r="K94" i="1"/>
  <c r="J94" i="1" s="1"/>
  <c r="K35" i="1"/>
  <c r="AF35" i="1" s="1"/>
  <c r="AL35" i="1" s="1"/>
  <c r="AR35" i="1" s="1"/>
  <c r="V106" i="1"/>
  <c r="U106" i="1"/>
  <c r="N97" i="1"/>
  <c r="O97" i="1"/>
  <c r="Y94" i="1"/>
  <c r="Z94" i="1"/>
  <c r="T94" i="1"/>
  <c r="U94" i="1"/>
  <c r="AC97" i="1"/>
  <c r="AC106" i="1"/>
  <c r="AA71" i="1" l="1"/>
  <c r="AA93" i="1" s="1"/>
  <c r="Z93" i="1" s="1"/>
  <c r="P71" i="1"/>
  <c r="P93" i="1" s="1"/>
  <c r="K69" i="1"/>
  <c r="K70" i="1"/>
  <c r="K68" i="1"/>
  <c r="K67" i="1"/>
  <c r="K30" i="1" s="1"/>
  <c r="AF30" i="1" s="1"/>
  <c r="AL30" i="1" s="1"/>
  <c r="AR30" i="1" s="1"/>
  <c r="AA46" i="1"/>
  <c r="AA33" i="1" s="1"/>
  <c r="AJ33" i="1" s="1"/>
  <c r="AP33" i="1" s="1"/>
  <c r="AV33" i="1" s="1"/>
  <c r="R46" i="1"/>
  <c r="R33" i="1" s="1"/>
  <c r="AH33" i="1" s="1"/>
  <c r="C101" i="1"/>
  <c r="C97" i="1"/>
  <c r="C50" i="1"/>
  <c r="C107" i="1" s="1"/>
  <c r="AN33" i="1" l="1"/>
  <c r="AT33" i="1" s="1"/>
  <c r="AH38" i="1"/>
  <c r="AA50" i="1"/>
  <c r="O93" i="1"/>
  <c r="K101" i="1"/>
  <c r="R107" i="1"/>
  <c r="R91" i="1"/>
  <c r="AA105" i="1"/>
  <c r="Z105" i="1" s="1"/>
  <c r="P105" i="1"/>
  <c r="K48" i="1"/>
  <c r="AA107" i="1" l="1"/>
  <c r="Y107" i="1" s="1"/>
  <c r="D48" i="1"/>
  <c r="O105" i="1"/>
  <c r="N105" i="1"/>
  <c r="H101" i="1"/>
  <c r="AC105" i="1"/>
  <c r="C108" i="1"/>
  <c r="C106" i="1"/>
  <c r="C105" i="1"/>
  <c r="C102" i="1"/>
  <c r="C94" i="1"/>
  <c r="C98" i="1"/>
  <c r="C93" i="1"/>
  <c r="C37" i="1" l="1"/>
  <c r="C36" i="1"/>
  <c r="C35" i="1"/>
  <c r="C23" i="1" s="1"/>
  <c r="C34" i="1"/>
  <c r="C33" i="1"/>
  <c r="C32" i="1"/>
  <c r="C30" i="1"/>
  <c r="C22" i="1" s="1"/>
  <c r="C31" i="1"/>
  <c r="C21" i="1" s="1"/>
  <c r="C29" i="1"/>
  <c r="C28" i="1"/>
  <c r="C27" i="1"/>
  <c r="C26" i="1"/>
  <c r="C91" i="1"/>
  <c r="P49" i="1"/>
  <c r="K49" i="1"/>
  <c r="C24" i="1" l="1"/>
  <c r="D49" i="1"/>
  <c r="D32" i="1" s="1"/>
  <c r="K32" i="1"/>
  <c r="AF32" i="1" s="1"/>
  <c r="AL32" i="1" s="1"/>
  <c r="AR32" i="1" s="1"/>
  <c r="K108" i="1"/>
  <c r="P32" i="1"/>
  <c r="AG32" i="1" s="1"/>
  <c r="AM32" i="1" s="1"/>
  <c r="AS32" i="1" s="1"/>
  <c r="P108" i="1"/>
  <c r="AC108" i="1" s="1"/>
  <c r="C19" i="1"/>
  <c r="Z15" i="1" l="1"/>
  <c r="Y15" i="1"/>
  <c r="V15" i="1"/>
  <c r="U15" i="1"/>
  <c r="T15" i="1"/>
  <c r="T17" i="1" s="1"/>
  <c r="R15" i="1"/>
  <c r="O15" i="1"/>
  <c r="N15" i="1"/>
  <c r="M15" i="1"/>
  <c r="G15" i="1"/>
  <c r="H15" i="1"/>
  <c r="I15" i="1"/>
  <c r="J15" i="1"/>
  <c r="F15" i="1"/>
  <c r="AA3" i="1"/>
  <c r="Y3" i="1"/>
  <c r="T23" i="1" l="1"/>
  <c r="T19" i="1" s="1"/>
  <c r="AA44" i="1"/>
  <c r="AA45" i="1"/>
  <c r="AA31" i="1" s="1"/>
  <c r="AJ31" i="1" s="1"/>
  <c r="AP31" i="1" s="1"/>
  <c r="AV31" i="1" s="1"/>
  <c r="AA47" i="1"/>
  <c r="AA100" i="1" s="1"/>
  <c r="AA52" i="1"/>
  <c r="AA54" i="1"/>
  <c r="AA55" i="1"/>
  <c r="AA56" i="1"/>
  <c r="AA57" i="1"/>
  <c r="AA58" i="1"/>
  <c r="AA59" i="1"/>
  <c r="AA60" i="1"/>
  <c r="AA61" i="1"/>
  <c r="AA64" i="1"/>
  <c r="AA67" i="1"/>
  <c r="AA68" i="1"/>
  <c r="AA69" i="1"/>
  <c r="AA70" i="1"/>
  <c r="AA79" i="1"/>
  <c r="AA80" i="1"/>
  <c r="AA82" i="1"/>
  <c r="AA83" i="1"/>
  <c r="AA84" i="1"/>
  <c r="AA85" i="1"/>
  <c r="AA86" i="1"/>
  <c r="AA34" i="1" s="1"/>
  <c r="AJ34" i="1" s="1"/>
  <c r="AP34" i="1" s="1"/>
  <c r="AV34" i="1" s="1"/>
  <c r="AA87" i="1"/>
  <c r="AA88" i="1"/>
  <c r="AA90" i="1"/>
  <c r="AA43" i="1"/>
  <c r="W44" i="1"/>
  <c r="W45" i="1"/>
  <c r="W46" i="1"/>
  <c r="W47" i="1"/>
  <c r="W100" i="1" s="1"/>
  <c r="W50" i="1"/>
  <c r="W51" i="1"/>
  <c r="W54" i="1"/>
  <c r="W55" i="1"/>
  <c r="W56" i="1"/>
  <c r="W57" i="1"/>
  <c r="W58" i="1"/>
  <c r="W59" i="1"/>
  <c r="W60" i="1"/>
  <c r="W61" i="1"/>
  <c r="W64" i="1"/>
  <c r="W66" i="1"/>
  <c r="W67" i="1"/>
  <c r="W99" i="1" s="1"/>
  <c r="W68" i="1"/>
  <c r="W69" i="1"/>
  <c r="W70" i="1"/>
  <c r="W71" i="1"/>
  <c r="W93" i="1" s="1"/>
  <c r="W76" i="1"/>
  <c r="W77" i="1"/>
  <c r="W79" i="1"/>
  <c r="W80" i="1"/>
  <c r="W81" i="1"/>
  <c r="W82" i="1"/>
  <c r="W83" i="1"/>
  <c r="W84" i="1"/>
  <c r="W85" i="1"/>
  <c r="W86" i="1"/>
  <c r="W87" i="1"/>
  <c r="W88" i="1"/>
  <c r="W102" i="1" s="1"/>
  <c r="W90" i="1"/>
  <c r="W43" i="1"/>
  <c r="P44" i="1"/>
  <c r="P45" i="1"/>
  <c r="P31" i="1" s="1"/>
  <c r="AG31" i="1" s="1"/>
  <c r="AM31" i="1" s="1"/>
  <c r="AS31" i="1" s="1"/>
  <c r="P46" i="1"/>
  <c r="P47" i="1"/>
  <c r="P100" i="1" s="1"/>
  <c r="AC100" i="1" s="1"/>
  <c r="P50" i="1"/>
  <c r="P51" i="1"/>
  <c r="P54" i="1"/>
  <c r="P55" i="1"/>
  <c r="P56" i="1"/>
  <c r="P57" i="1"/>
  <c r="P58" i="1"/>
  <c r="P59" i="1"/>
  <c r="P60" i="1"/>
  <c r="P61" i="1"/>
  <c r="P62" i="1"/>
  <c r="P64" i="1"/>
  <c r="P66" i="1"/>
  <c r="P67" i="1"/>
  <c r="P99" i="1" s="1"/>
  <c r="P68" i="1"/>
  <c r="P69" i="1"/>
  <c r="P70" i="1"/>
  <c r="P72" i="1"/>
  <c r="P35" i="1" s="1"/>
  <c r="AG35" i="1" s="1"/>
  <c r="AM35" i="1" s="1"/>
  <c r="AS35" i="1" s="1"/>
  <c r="P73" i="1"/>
  <c r="P74" i="1"/>
  <c r="P75" i="1"/>
  <c r="P76" i="1"/>
  <c r="P77" i="1"/>
  <c r="P79" i="1"/>
  <c r="P80" i="1"/>
  <c r="P81" i="1"/>
  <c r="P107" i="1" s="1"/>
  <c r="P82" i="1"/>
  <c r="P83" i="1"/>
  <c r="P84" i="1"/>
  <c r="P85" i="1"/>
  <c r="P86" i="1"/>
  <c r="P87" i="1"/>
  <c r="P88" i="1"/>
  <c r="P90" i="1"/>
  <c r="P43" i="1"/>
  <c r="K45" i="1"/>
  <c r="K46" i="1"/>
  <c r="K50" i="1"/>
  <c r="K51" i="1"/>
  <c r="K58" i="1"/>
  <c r="K59" i="1"/>
  <c r="K60" i="1"/>
  <c r="K61" i="1"/>
  <c r="K62" i="1"/>
  <c r="K64" i="1"/>
  <c r="K66" i="1"/>
  <c r="K71" i="1"/>
  <c r="K93" i="1" s="1"/>
  <c r="K76" i="1"/>
  <c r="K77" i="1"/>
  <c r="K79" i="1"/>
  <c r="K81" i="1"/>
  <c r="K82" i="1"/>
  <c r="K83" i="1"/>
  <c r="K84" i="1"/>
  <c r="K85" i="1"/>
  <c r="K86" i="1"/>
  <c r="K90" i="1"/>
  <c r="K43" i="1"/>
  <c r="W30" i="1" l="1"/>
  <c r="AI30" i="1" s="1"/>
  <c r="AO30" i="1" s="1"/>
  <c r="AU30" i="1" s="1"/>
  <c r="AA36" i="1"/>
  <c r="AJ36" i="1" s="1"/>
  <c r="AP36" i="1" s="1"/>
  <c r="AV36" i="1" s="1"/>
  <c r="AA30" i="1"/>
  <c r="AJ30" i="1" s="1"/>
  <c r="AP30" i="1" s="1"/>
  <c r="AV30" i="1" s="1"/>
  <c r="AA91" i="1"/>
  <c r="AA27" i="1"/>
  <c r="AJ27" i="1" s="1"/>
  <c r="AP27" i="1" s="1"/>
  <c r="AV27" i="1" s="1"/>
  <c r="AA101" i="1"/>
  <c r="W36" i="1"/>
  <c r="AI36" i="1" s="1"/>
  <c r="AO36" i="1" s="1"/>
  <c r="AU36" i="1" s="1"/>
  <c r="AA26" i="1"/>
  <c r="AJ26" i="1" s="1"/>
  <c r="AA98" i="1"/>
  <c r="Z98" i="1" s="1"/>
  <c r="Z110" i="1" s="1"/>
  <c r="Z111" i="1" s="1"/>
  <c r="Z112" i="1" s="1"/>
  <c r="D87" i="1"/>
  <c r="W26" i="1"/>
  <c r="AI26" i="1" s="1"/>
  <c r="W98" i="1"/>
  <c r="AC93" i="1"/>
  <c r="P101" i="1"/>
  <c r="P33" i="1"/>
  <c r="AG33" i="1" s="1"/>
  <c r="AM33" i="1" s="1"/>
  <c r="AS33" i="1" s="1"/>
  <c r="AA102" i="1"/>
  <c r="W34" i="1"/>
  <c r="AI34" i="1" s="1"/>
  <c r="AO34" i="1" s="1"/>
  <c r="AU34" i="1" s="1"/>
  <c r="P34" i="1"/>
  <c r="AG34" i="1" s="1"/>
  <c r="AM34" i="1" s="1"/>
  <c r="AS34" i="1" s="1"/>
  <c r="P30" i="1"/>
  <c r="AG30" i="1" s="1"/>
  <c r="AM30" i="1" s="1"/>
  <c r="AS30" i="1" s="1"/>
  <c r="P102" i="1"/>
  <c r="D88" i="1"/>
  <c r="K33" i="1"/>
  <c r="AF33" i="1" s="1"/>
  <c r="AL33" i="1" s="1"/>
  <c r="AR33" i="1" s="1"/>
  <c r="K26" i="1"/>
  <c r="AF26" i="1" s="1"/>
  <c r="K98" i="1"/>
  <c r="K31" i="1"/>
  <c r="AF31" i="1" s="1"/>
  <c r="AL31" i="1" s="1"/>
  <c r="AR31" i="1" s="1"/>
  <c r="W91" i="1"/>
  <c r="W33" i="1"/>
  <c r="AI33" i="1" s="1"/>
  <c r="AO33" i="1" s="1"/>
  <c r="AU33" i="1" s="1"/>
  <c r="K34" i="1"/>
  <c r="AF34" i="1" s="1"/>
  <c r="AL34" i="1" s="1"/>
  <c r="AR34" i="1" s="1"/>
  <c r="P94" i="1"/>
  <c r="AC94" i="1" s="1"/>
  <c r="K107" i="1"/>
  <c r="P91" i="1"/>
  <c r="P26" i="1"/>
  <c r="AG26" i="1" s="1"/>
  <c r="P98" i="1"/>
  <c r="D98" i="1" s="1"/>
  <c r="P36" i="1"/>
  <c r="AG36" i="1" s="1"/>
  <c r="AM36" i="1" s="1"/>
  <c r="AS36" i="1" s="1"/>
  <c r="W107" i="1"/>
  <c r="D107" i="1" s="1"/>
  <c r="W101" i="1"/>
  <c r="T101" i="1" s="1"/>
  <c r="W31" i="1"/>
  <c r="AI31" i="1" s="1"/>
  <c r="AO31" i="1" s="1"/>
  <c r="AU31" i="1" s="1"/>
  <c r="AA99" i="1"/>
  <c r="D45" i="1"/>
  <c r="D46" i="1"/>
  <c r="D47" i="1"/>
  <c r="D50" i="1"/>
  <c r="D51" i="1"/>
  <c r="D52" i="1"/>
  <c r="D27" i="1" s="1"/>
  <c r="D53" i="1"/>
  <c r="D28" i="1" s="1"/>
  <c r="D54" i="1"/>
  <c r="D55" i="1"/>
  <c r="D56" i="1"/>
  <c r="D57" i="1"/>
  <c r="D58" i="1"/>
  <c r="D59" i="1"/>
  <c r="D60" i="1"/>
  <c r="D61" i="1"/>
  <c r="D62" i="1"/>
  <c r="D63" i="1"/>
  <c r="D64" i="1"/>
  <c r="D65" i="1"/>
  <c r="D29" i="1" s="1"/>
  <c r="D66" i="1"/>
  <c r="D33" i="1" s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90" i="1"/>
  <c r="D93" i="1"/>
  <c r="D94" i="1"/>
  <c r="D95" i="1"/>
  <c r="D96" i="1"/>
  <c r="D97" i="1"/>
  <c r="D100" i="1"/>
  <c r="D101" i="1"/>
  <c r="D102" i="1"/>
  <c r="D103" i="1"/>
  <c r="D104" i="1"/>
  <c r="D105" i="1"/>
  <c r="D106" i="1"/>
  <c r="D43" i="1"/>
  <c r="D35" i="1" l="1"/>
  <c r="AG38" i="1"/>
  <c r="AM26" i="1"/>
  <c r="AS26" i="1" s="1"/>
  <c r="AC98" i="1"/>
  <c r="AJ38" i="1"/>
  <c r="AP26" i="1"/>
  <c r="AV26" i="1" s="1"/>
  <c r="AI38" i="1"/>
  <c r="AO26" i="1"/>
  <c r="AU26" i="1" s="1"/>
  <c r="D31" i="1"/>
  <c r="AF38" i="1"/>
  <c r="AL38" i="1" s="1"/>
  <c r="AR38" i="1" s="1"/>
  <c r="AL26" i="1"/>
  <c r="AR26" i="1" s="1"/>
  <c r="D36" i="1"/>
  <c r="AC107" i="1"/>
  <c r="N101" i="1"/>
  <c r="AC101" i="1"/>
  <c r="D34" i="1"/>
  <c r="AC102" i="1"/>
  <c r="V98" i="1"/>
  <c r="U98" i="1"/>
  <c r="T98" i="1"/>
  <c r="T38" i="1" s="1"/>
  <c r="D26" i="1"/>
  <c r="K3" i="1"/>
  <c r="M3" i="1"/>
  <c r="AA22" i="1" l="1"/>
  <c r="AA21" i="1"/>
  <c r="W24" i="1"/>
  <c r="W22" i="1"/>
  <c r="W21" i="1"/>
  <c r="P24" i="1"/>
  <c r="P23" i="1"/>
  <c r="P22" i="1"/>
  <c r="K24" i="1"/>
  <c r="K21" i="1"/>
  <c r="Z10" i="1"/>
  <c r="Y10" i="1"/>
  <c r="V10" i="1"/>
  <c r="U10" i="1"/>
  <c r="W10" i="1" s="1"/>
  <c r="R10" i="1"/>
  <c r="R17" i="1" s="1"/>
  <c r="O10" i="1"/>
  <c r="O17" i="1" s="1"/>
  <c r="N10" i="1"/>
  <c r="N17" i="1" s="1"/>
  <c r="M10" i="1"/>
  <c r="G10" i="1"/>
  <c r="G17" i="1" s="1"/>
  <c r="H10" i="1"/>
  <c r="H17" i="1" s="1"/>
  <c r="I10" i="1"/>
  <c r="J10" i="1"/>
  <c r="J17" i="1" s="1"/>
  <c r="F10" i="1"/>
  <c r="F17" i="1" s="1"/>
  <c r="AA8" i="1"/>
  <c r="W8" i="1"/>
  <c r="P8" i="1"/>
  <c r="K8" i="1"/>
  <c r="O19" i="1" l="1"/>
  <c r="O38" i="1"/>
  <c r="R24" i="1"/>
  <c r="R38" i="1"/>
  <c r="N21" i="1"/>
  <c r="N19" i="1"/>
  <c r="N38" i="1"/>
  <c r="J20" i="1"/>
  <c r="K20" i="1" s="1"/>
  <c r="AC20" i="1" s="1"/>
  <c r="J38" i="1"/>
  <c r="H19" i="1"/>
  <c r="H38" i="1"/>
  <c r="G19" i="1"/>
  <c r="G38" i="1"/>
  <c r="Y17" i="1"/>
  <c r="AA10" i="1"/>
  <c r="Z17" i="1"/>
  <c r="Z19" i="1" s="1"/>
  <c r="AA19" i="1" s="1"/>
  <c r="V17" i="1"/>
  <c r="U17" i="1"/>
  <c r="M17" i="1"/>
  <c r="P17" i="1" s="1"/>
  <c r="P38" i="1" s="1"/>
  <c r="I17" i="1"/>
  <c r="I22" i="1" s="1"/>
  <c r="K22" i="1" s="1"/>
  <c r="AC22" i="1" s="1"/>
  <c r="AC8" i="1"/>
  <c r="F19" i="1"/>
  <c r="K19" i="1" s="1"/>
  <c r="J23" i="1"/>
  <c r="K23" i="1" s="1"/>
  <c r="P10" i="1"/>
  <c r="K10" i="1"/>
  <c r="K17" i="1" l="1"/>
  <c r="U23" i="1"/>
  <c r="U19" i="1" s="1"/>
  <c r="W19" i="1" s="1"/>
  <c r="U38" i="1"/>
  <c r="V23" i="1"/>
  <c r="V19" i="1"/>
  <c r="V38" i="1"/>
  <c r="Y38" i="1"/>
  <c r="Y23" i="1"/>
  <c r="Y24" i="1" s="1"/>
  <c r="AA24" i="1" s="1"/>
  <c r="AC24" i="1" s="1"/>
  <c r="AC10" i="1"/>
  <c r="AA17" i="1"/>
  <c r="AA38" i="1" s="1"/>
  <c r="Z38" i="1"/>
  <c r="Z23" i="1"/>
  <c r="W17" i="1"/>
  <c r="W38" i="1" s="1"/>
  <c r="M21" i="1"/>
  <c r="P21" i="1" s="1"/>
  <c r="AC21" i="1" s="1"/>
  <c r="M19" i="1"/>
  <c r="P19" i="1" s="1"/>
  <c r="W23" i="1"/>
  <c r="AA23" i="1" l="1"/>
  <c r="AC23" i="1" s="1"/>
  <c r="AC17" i="1"/>
  <c r="AC19" i="1"/>
  <c r="K91" i="1"/>
  <c r="D91" i="1" s="1"/>
  <c r="D44" i="1"/>
  <c r="D30" i="1" s="1"/>
  <c r="K99" i="1"/>
  <c r="AC99" i="1" s="1"/>
  <c r="I99" i="1" l="1"/>
  <c r="I38" i="1" s="1"/>
  <c r="D99" i="1"/>
  <c r="K38" i="1"/>
  <c r="D71" i="4"/>
  <c r="D37" i="4" s="1"/>
  <c r="Y96" i="4"/>
  <c r="Y93" i="4"/>
  <c r="Y40" i="4" s="1"/>
  <c r="Y37" i="4"/>
  <c r="AL37" i="4" s="1"/>
  <c r="AL40" i="4" s="1"/>
  <c r="AS40" i="4" s="1"/>
  <c r="AF96" i="4" l="1"/>
  <c r="V96" i="4"/>
  <c r="V40" i="4" s="1"/>
  <c r="D96" i="4"/>
  <c r="D40" i="4"/>
  <c r="D23" i="4"/>
  <c r="AN37" i="4"/>
  <c r="AN40" i="4" s="1"/>
  <c r="AU40" i="4" s="1"/>
  <c r="D93" i="4"/>
  <c r="AS37" i="4"/>
  <c r="BR37" i="4" l="1"/>
  <c r="BR40" i="4" s="1"/>
  <c r="CD37" i="4"/>
  <c r="CD40" i="4" s="1"/>
  <c r="BF37" i="4"/>
  <c r="BF40" i="4" s="1"/>
  <c r="AU37" i="4"/>
  <c r="BF41" i="4" l="1"/>
  <c r="BF42" i="4" s="1"/>
  <c r="CD41" i="4"/>
  <c r="CD42" i="4" s="1"/>
  <c r="BR41" i="4"/>
  <c r="BR4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6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BFO in supreme Bags</t>
        </r>
      </text>
    </comment>
    <comment ref="C8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Alok Khator</author>
  </authors>
  <commentList>
    <comment ref="C68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  <comment ref="C82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Alok Khator:</t>
        </r>
        <r>
          <rPr>
            <sz val="9"/>
            <color indexed="81"/>
            <rFont val="Tahoma"/>
            <family val="2"/>
          </rPr>
          <t xml:space="preserve">
F2</t>
        </r>
      </text>
    </comment>
  </commentList>
</comments>
</file>

<file path=xl/sharedStrings.xml><?xml version="1.0" encoding="utf-8"?>
<sst xmlns="http://schemas.openxmlformats.org/spreadsheetml/2006/main" count="2292" uniqueCount="141">
  <si>
    <t>TCB</t>
  </si>
  <si>
    <t>Beachland</t>
  </si>
  <si>
    <t>WARRI</t>
  </si>
  <si>
    <t>PH</t>
  </si>
  <si>
    <t>Mills</t>
  </si>
  <si>
    <t>A</t>
  </si>
  <si>
    <t>B</t>
  </si>
  <si>
    <t>C</t>
  </si>
  <si>
    <t>D</t>
  </si>
  <si>
    <t>E</t>
  </si>
  <si>
    <t>Extraction</t>
  </si>
  <si>
    <t>Total</t>
  </si>
  <si>
    <t>Days in Month</t>
  </si>
  <si>
    <t>Fumigation Days</t>
  </si>
  <si>
    <t>Maintenance Shutdown Days</t>
  </si>
  <si>
    <t>Total Operation Days</t>
  </si>
  <si>
    <t>OEE assumed</t>
  </si>
  <si>
    <t>HC [TPM]</t>
  </si>
  <si>
    <t>Bread Flour</t>
  </si>
  <si>
    <t>Noodle</t>
  </si>
  <si>
    <t>Biscuit</t>
  </si>
  <si>
    <t>Semolina</t>
  </si>
  <si>
    <t>Pasta</t>
  </si>
  <si>
    <t>CFM</t>
  </si>
  <si>
    <t>MATERIAL NUMBER</t>
  </si>
  <si>
    <t>SKU DESCRIPTION</t>
  </si>
  <si>
    <t>BULK FLOUR-2</t>
  </si>
  <si>
    <t>BULK BISCUIT FLOUR</t>
  </si>
  <si>
    <t>BULK NOODLE FLOUR</t>
  </si>
  <si>
    <t>Cut Spaghetti- 50kg</t>
  </si>
  <si>
    <t>Flour A - 50kg</t>
  </si>
  <si>
    <t>BAKEWELL FLOUR – 50KG</t>
  </si>
  <si>
    <t>Mama Gold Semolina -10 Kg</t>
  </si>
  <si>
    <t>Mama Gold Semolina -5 Kg</t>
  </si>
  <si>
    <t>Mama Gold Semolina -2 Kg x 5</t>
  </si>
  <si>
    <t>Mama Gold Semolina -1 Kg x 10</t>
  </si>
  <si>
    <t>Mama Gold WWM - 10kg</t>
  </si>
  <si>
    <t>Mama Gold  WWM - 5kg</t>
  </si>
  <si>
    <t>Mama Gold WWM - 2kg x 5</t>
  </si>
  <si>
    <t>Mama Gold  WWM -1kg x 10</t>
  </si>
  <si>
    <t>Mix &amp; Bake Superb Flour (Plus )-50 Kg</t>
  </si>
  <si>
    <t>Mix and Bake Superb Flour-50kg</t>
  </si>
  <si>
    <t>Mix &amp; Bake Superb Flour (SE Plus )-50 Kg</t>
  </si>
  <si>
    <t>Supreme Biscuit Flour -50 KG</t>
  </si>
  <si>
    <t>Supreme flour ( Lagos plus ) 50kg</t>
  </si>
  <si>
    <t>Supreme flour (others)50kg</t>
  </si>
  <si>
    <t>Supreme flour 50kg</t>
  </si>
  <si>
    <t>Supreme Noodles Flour-50 Kg</t>
  </si>
  <si>
    <t>Supreme Semolina -10 Kg</t>
  </si>
  <si>
    <t>Supreme Semolina -5 Kg</t>
  </si>
  <si>
    <t>Supreme Semolina -5*2 Kg</t>
  </si>
  <si>
    <t>Supreme Semolina – 1 Kg x 10</t>
  </si>
  <si>
    <t>Talia Hooks - 10 Kg</t>
  </si>
  <si>
    <t>Talia Hooks - 50 Kg</t>
  </si>
  <si>
    <t>Wheat Bran -50Kg</t>
  </si>
  <si>
    <t>Gurasa Flour - 50kg</t>
  </si>
  <si>
    <t>Macaroni Cavato 50Kg </t>
  </si>
  <si>
    <t>Supreme  WWM - 10kg</t>
  </si>
  <si>
    <t>Supreme  WWM - 5kg</t>
  </si>
  <si>
    <t>Supreme WWM - 2kg x 5</t>
  </si>
  <si>
    <t>Supreme  WWM -1kg x 10</t>
  </si>
  <si>
    <t>Macaroni Elbow (500gmx20)</t>
  </si>
  <si>
    <t>New Pack Mama Gold Semolina -10 Kg x 5</t>
  </si>
  <si>
    <t>New Pack Mama Gold Semolina -5 Kg x 10</t>
  </si>
  <si>
    <t>Scrap Wheat Bran -50Kg</t>
  </si>
  <si>
    <t>SFG</t>
  </si>
  <si>
    <t>Noodle Flour</t>
  </si>
  <si>
    <t>Bread Flour-Lagos</t>
  </si>
  <si>
    <t>Bread Flour-Maiduguri</t>
  </si>
  <si>
    <t>Bread Flour-Others</t>
  </si>
  <si>
    <t>Biscuit Flour</t>
  </si>
  <si>
    <t>Flour 2</t>
  </si>
  <si>
    <t>Mama Gold Flour</t>
  </si>
  <si>
    <t>Mama Gold Semolina</t>
  </si>
  <si>
    <t>Gurasa Flour</t>
  </si>
  <si>
    <t>Mama Gold WWM FLOUR</t>
  </si>
  <si>
    <t>Premium Fortified Flour</t>
  </si>
  <si>
    <t>BAKEWELL FLOUR</t>
  </si>
  <si>
    <t>Semolina - Pasta Flour</t>
  </si>
  <si>
    <t>F2 Flour</t>
  </si>
  <si>
    <t>TCA 6101</t>
  </si>
  <si>
    <t>Demand</t>
  </si>
  <si>
    <t>Supply</t>
  </si>
  <si>
    <t>Stock Count</t>
  </si>
  <si>
    <t>Madiga</t>
  </si>
  <si>
    <t>FirstChoice Macaroni TwistCavato(500gx20</t>
  </si>
  <si>
    <t>BFO</t>
  </si>
  <si>
    <t>MGF</t>
  </si>
  <si>
    <t>Bakewell</t>
  </si>
  <si>
    <t>PFF</t>
  </si>
  <si>
    <t>Noodles</t>
  </si>
  <si>
    <t>Spaghetti</t>
  </si>
  <si>
    <t>Macroni</t>
  </si>
  <si>
    <t>Supreme Semolina</t>
  </si>
  <si>
    <t>Tuwovita</t>
  </si>
  <si>
    <t>Plant Capacity [MTPD]</t>
  </si>
  <si>
    <t>HC [MTPD]</t>
  </si>
  <si>
    <t>Bua Macaroni Twist Cavatto (500gmx20)</t>
  </si>
  <si>
    <t>Bua Macaroni Twist Cavatto (200gmx50)</t>
  </si>
  <si>
    <t>Mama Gold Flour -50 Kg</t>
  </si>
  <si>
    <t>Mix and Bake : M 50 kg</t>
  </si>
  <si>
    <t>Bua Premium Fortified Flour (50kg)</t>
  </si>
  <si>
    <t>Bua Spaghetti (500gx20)</t>
  </si>
  <si>
    <t>Broken Wheat</t>
  </si>
  <si>
    <t>TCA</t>
  </si>
  <si>
    <t xml:space="preserve">Warri </t>
  </si>
  <si>
    <t>Volumes</t>
  </si>
  <si>
    <t>Wheat</t>
  </si>
  <si>
    <t>CWRS %</t>
  </si>
  <si>
    <t>CWRS [MT]</t>
  </si>
  <si>
    <t>Low Protein %</t>
  </si>
  <si>
    <t>Low Protein [MT]</t>
  </si>
  <si>
    <t>Soft Wheat %</t>
  </si>
  <si>
    <t>Soft Wheat [MT]</t>
  </si>
  <si>
    <t>Mix and Bake</t>
  </si>
  <si>
    <t>Mix and Bake [SE]</t>
  </si>
  <si>
    <t>Bua Premium</t>
  </si>
  <si>
    <t>Noodles Flour</t>
  </si>
  <si>
    <t>Mix and Bake Madiga</t>
  </si>
  <si>
    <t>Nigeria</t>
  </si>
  <si>
    <t>Wheat Milling</t>
  </si>
  <si>
    <t>Tuwovita 10 KG</t>
  </si>
  <si>
    <t>Tuwovita 5 KG</t>
  </si>
  <si>
    <t>Volumes [MT]</t>
  </si>
  <si>
    <t>A[Spag]</t>
  </si>
  <si>
    <t>A[Mac]</t>
  </si>
  <si>
    <t>Macaroni</t>
  </si>
  <si>
    <t>Tuwovita 2 KG</t>
  </si>
  <si>
    <t>Tuwovita 1 KG</t>
  </si>
  <si>
    <t>Spag</t>
  </si>
  <si>
    <t>Mac</t>
  </si>
  <si>
    <t>Supreme flour A - 50kg</t>
  </si>
  <si>
    <t>Supreme flour (Others) 50kg</t>
  </si>
  <si>
    <t>Mix and Bake Lagos Plus Flour - 50KG - FC</t>
  </si>
  <si>
    <t>Mix and Bake - 25 kg</t>
  </si>
  <si>
    <t>Talia Straight 10 KG</t>
  </si>
  <si>
    <t>Talia Straight 50 KG</t>
  </si>
  <si>
    <t>New Product</t>
  </si>
  <si>
    <t>Macaroni Elbow 50 KG</t>
  </si>
  <si>
    <t>Talia Straight</t>
  </si>
  <si>
    <t>Other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</si>
</sst>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(* #,##0.0_);_(* \(#,##0.0\);_(* &quot;-&quot;??_);_(@_)"/>
    <numFmt numFmtId="167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164" fontId="0" fillId="0" borderId="1" xfId="1" applyNumberFormat="1" applyFont="1" applyBorder="1"/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164" fontId="0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Fill="1" applyBorder="1" applyAlignment="1">
      <alignment wrapText="1"/>
    </xf>
    <xf numFmtId="164" fontId="0" fillId="0" borderId="0" xfId="1" applyNumberFormat="1" applyFont="1" applyBorder="1"/>
    <xf numFmtId="164" fontId="3" fillId="2" borderId="0" xfId="1" applyNumberFormat="1" applyFont="1" applyFill="1" applyBorder="1"/>
    <xf numFmtId="164" fontId="2" fillId="2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164" fontId="0" fillId="0" borderId="0" xfId="1" applyNumberFormat="1" applyFont="1" applyFill="1" applyBorder="1" applyAlignment="1">
      <alignment horizontal="center"/>
    </xf>
    <xf numFmtId="43" fontId="0" fillId="0" borderId="0" xfId="1" applyNumberFormat="1" applyFont="1" applyBorder="1" applyAlignment="1">
      <alignment horizontal="center" vertical="center"/>
    </xf>
    <xf numFmtId="43" fontId="0" fillId="0" borderId="0" xfId="1" applyNumberFormat="1" applyFont="1" applyFill="1" applyBorder="1" applyAlignment="1">
      <alignment horizontal="center" vertical="center"/>
    </xf>
    <xf numFmtId="43" fontId="0" fillId="0" borderId="0" xfId="1" applyNumberFormat="1" applyFont="1" applyFill="1" applyBorder="1"/>
    <xf numFmtId="43" fontId="0" fillId="0" borderId="0" xfId="1" applyNumberFormat="1" applyFont="1" applyBorder="1"/>
    <xf numFmtId="164" fontId="0" fillId="0" borderId="0" xfId="1" applyNumberFormat="1" applyFont="1" applyBorder="1" applyAlignment="1">
      <alignment wrapText="1"/>
    </xf>
    <xf numFmtId="164" fontId="3" fillId="2" borderId="1" xfId="1" applyNumberFormat="1" applyFont="1" applyFill="1" applyBorder="1" applyAlignment="1">
      <alignment wrapText="1"/>
    </xf>
    <xf numFmtId="164" fontId="2" fillId="2" borderId="1" xfId="1" applyNumberFormat="1" applyFont="1" applyFill="1" applyBorder="1" applyAlignment="1">
      <alignment horizontal="center" vertical="center" wrapText="1"/>
    </xf>
    <xf numFmtId="164" fontId="0" fillId="0" borderId="1" xfId="1" applyNumberFormat="1" applyFont="1" applyBorder="1" applyAlignment="1">
      <alignment wrapText="1"/>
    </xf>
    <xf numFmtId="43" fontId="0" fillId="0" borderId="1" xfId="1" applyNumberFormat="1" applyFont="1" applyBorder="1" applyAlignment="1">
      <alignment wrapText="1"/>
    </xf>
    <xf numFmtId="43" fontId="0" fillId="0" borderId="1" xfId="1" applyNumberFormat="1" applyFont="1" applyBorder="1"/>
    <xf numFmtId="43" fontId="0" fillId="0" borderId="1" xfId="1" applyNumberFormat="1" applyFont="1" applyBorder="1" applyAlignment="1">
      <alignment horizontal="center" vertical="center"/>
    </xf>
    <xf numFmtId="1" fontId="4" fillId="0" borderId="1" xfId="1" applyNumberFormat="1" applyFont="1" applyBorder="1"/>
    <xf numFmtId="1" fontId="0" fillId="0" borderId="1" xfId="0" applyNumberFormat="1" applyFill="1" applyBorder="1"/>
    <xf numFmtId="165" fontId="0" fillId="0" borderId="1" xfId="1" applyNumberFormat="1" applyFont="1" applyFill="1" applyBorder="1"/>
    <xf numFmtId="1" fontId="0" fillId="0" borderId="1" xfId="0" applyNumberForma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0" fontId="0" fillId="0" borderId="1" xfId="0" applyBorder="1"/>
    <xf numFmtId="1" fontId="0" fillId="0" borderId="5" xfId="0" applyNumberFormat="1" applyFill="1" applyBorder="1"/>
    <xf numFmtId="165" fontId="0" fillId="0" borderId="5" xfId="1" applyNumberFormat="1" applyFont="1" applyFill="1" applyBorder="1"/>
    <xf numFmtId="165" fontId="4" fillId="0" borderId="1" xfId="1" applyNumberFormat="1" applyFont="1" applyBorder="1"/>
    <xf numFmtId="164" fontId="3" fillId="2" borderId="0" xfId="1" applyNumberFormat="1" applyFont="1" applyFill="1" applyBorder="1" applyAlignment="1">
      <alignment wrapText="1"/>
    </xf>
    <xf numFmtId="43" fontId="0" fillId="0" borderId="0" xfId="1" applyNumberFormat="1" applyFont="1" applyBorder="1" applyAlignment="1">
      <alignment wrapText="1"/>
    </xf>
    <xf numFmtId="165" fontId="4" fillId="0" borderId="0" xfId="1" applyNumberFormat="1" applyFont="1" applyBorder="1"/>
    <xf numFmtId="165" fontId="0" fillId="0" borderId="0" xfId="1" applyNumberFormat="1" applyFont="1" applyFill="1" applyBorder="1"/>
    <xf numFmtId="164" fontId="0" fillId="0" borderId="0" xfId="1" applyNumberFormat="1" applyFont="1" applyFill="1" applyBorder="1" applyAlignment="1">
      <alignment wrapText="1"/>
    </xf>
    <xf numFmtId="164" fontId="0" fillId="0" borderId="0" xfId="1" applyNumberFormat="1" applyFont="1" applyBorder="1" applyAlignment="1"/>
    <xf numFmtId="166" fontId="0" fillId="0" borderId="1" xfId="1" applyNumberFormat="1" applyFont="1" applyBorder="1" applyAlignment="1">
      <alignment horizontal="center" vertical="center"/>
    </xf>
    <xf numFmtId="166" fontId="0" fillId="0" borderId="1" xfId="1" applyNumberFormat="1" applyFont="1" applyBorder="1"/>
    <xf numFmtId="165" fontId="4" fillId="0" borderId="3" xfId="1" applyNumberFormat="1" applyFont="1" applyFill="1" applyBorder="1" applyAlignment="1">
      <alignment horizontal="center"/>
    </xf>
    <xf numFmtId="165" fontId="4" fillId="0" borderId="4" xfId="1" applyNumberFormat="1" applyFont="1" applyFill="1" applyBorder="1" applyAlignment="1">
      <alignment horizontal="center"/>
    </xf>
    <xf numFmtId="165" fontId="0" fillId="3" borderId="0" xfId="1" applyNumberFormat="1" applyFont="1" applyFill="1" applyBorder="1"/>
    <xf numFmtId="165" fontId="0" fillId="5" borderId="0" xfId="1" applyNumberFormat="1" applyFont="1" applyFill="1" applyBorder="1"/>
    <xf numFmtId="165" fontId="0" fillId="6" borderId="0" xfId="1" applyNumberFormat="1" applyFont="1" applyFill="1" applyBorder="1"/>
    <xf numFmtId="9" fontId="0" fillId="0" borderId="0" xfId="2" applyFont="1" applyBorder="1"/>
    <xf numFmtId="9" fontId="3" fillId="2" borderId="0" xfId="2" applyFont="1" applyFill="1" applyBorder="1"/>
    <xf numFmtId="9" fontId="3" fillId="2" borderId="0" xfId="2" applyNumberFormat="1" applyFont="1" applyFill="1" applyBorder="1"/>
    <xf numFmtId="167" fontId="0" fillId="0" borderId="0" xfId="2" applyNumberFormat="1" applyFont="1" applyBorder="1"/>
    <xf numFmtId="164" fontId="0" fillId="4" borderId="1" xfId="1" applyNumberFormat="1" applyFont="1" applyFill="1" applyBorder="1"/>
    <xf numFmtId="165" fontId="0" fillId="4" borderId="1" xfId="1" applyNumberFormat="1" applyFont="1" applyFill="1" applyBorder="1"/>
    <xf numFmtId="165" fontId="0" fillId="7" borderId="1" xfId="1" applyNumberFormat="1" applyFont="1" applyFill="1" applyBorder="1"/>
    <xf numFmtId="165" fontId="0" fillId="4" borderId="0" xfId="1" applyNumberFormat="1" applyFont="1" applyFill="1" applyBorder="1"/>
    <xf numFmtId="164" fontId="3" fillId="0" borderId="0" xfId="1" applyNumberFormat="1" applyFont="1" applyFill="1" applyBorder="1"/>
    <xf numFmtId="165" fontId="0" fillId="8" borderId="1" xfId="1" applyNumberFormat="1" applyFont="1" applyFill="1" applyBorder="1"/>
    <xf numFmtId="164" fontId="7" fillId="2" borderId="0" xfId="1" applyNumberFormat="1" applyFont="1" applyFill="1" applyBorder="1" applyAlignment="1">
      <alignment horizontal="center"/>
    </xf>
    <xf numFmtId="164" fontId="7" fillId="2" borderId="0" xfId="1" applyNumberFormat="1" applyFont="1" applyFill="1" applyBorder="1"/>
    <xf numFmtId="164" fontId="7" fillId="2" borderId="0" xfId="1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/>
    <xf numFmtId="164" fontId="7" fillId="2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/>
    <xf numFmtId="164" fontId="7" fillId="2" borderId="0" xfId="1" applyNumberFormat="1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/>
    </xf>
    <xf numFmtId="164" fontId="0" fillId="0" borderId="0" xfId="1" applyNumberFormat="1" applyFont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164" fontId="0" fillId="0" borderId="1" xfId="1" applyNumberFormat="1" applyFont="1" applyFill="1" applyBorder="1"/>
    <xf numFmtId="164" fontId="0" fillId="0" borderId="0" xfId="1" applyNumberFormat="1" applyFont="1" applyBorder="1" applyAlignment="1">
      <alignment vertical="center"/>
    </xf>
    <xf numFmtId="9" fontId="0" fillId="9" borderId="0" xfId="2" applyFont="1" applyFill="1" applyBorder="1"/>
    <xf numFmtId="166" fontId="0" fillId="0" borderId="0" xfId="1" applyNumberFormat="1" applyFont="1" applyBorder="1"/>
    <xf numFmtId="164" fontId="0" fillId="3" borderId="0" xfId="1" applyNumberFormat="1" applyFont="1" applyFill="1" applyBorder="1"/>
    <xf numFmtId="9" fontId="0" fillId="0" borderId="0" xfId="2" applyFont="1" applyFill="1" applyBorder="1"/>
    <xf numFmtId="164" fontId="0" fillId="0" borderId="0" xfId="1" applyNumberFormat="1" applyFont="1" applyBorder="1" applyAlignment="1">
      <alignment horizontal="center" vertical="center"/>
    </xf>
    <xf numFmtId="165" fontId="4" fillId="3" borderId="3" xfId="1" applyNumberFormat="1" applyFont="1" applyFill="1" applyBorder="1" applyAlignment="1">
      <alignment horizontal="center"/>
    </xf>
    <xf numFmtId="165" fontId="4" fillId="3" borderId="4" xfId="1" applyNumberFormat="1" applyFont="1" applyFill="1" applyBorder="1" applyAlignment="1">
      <alignment horizontal="center"/>
    </xf>
    <xf numFmtId="164" fontId="7" fillId="2" borderId="0" xfId="1" applyNumberFormat="1" applyFont="1" applyFill="1" applyBorder="1" applyAlignment="1">
      <alignment horizontal="center"/>
    </xf>
    <xf numFmtId="164" fontId="3" fillId="2" borderId="0" xfId="1" applyNumberFormat="1" applyFont="1" applyFill="1" applyBorder="1" applyAlignment="1">
      <alignment horizontal="center" wrapText="1"/>
    </xf>
    <xf numFmtId="164" fontId="3" fillId="2" borderId="0" xfId="1" applyNumberFormat="1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 vertical="center"/>
    </xf>
    <xf numFmtId="164" fontId="7" fillId="2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BN115"/>
  <sheetViews>
    <sheetView topLeftCell="B4" zoomScaleNormal="100" workbookViewId="0">
      <pane xSplit="4" ySplit="4" topLeftCell="F75" activePane="bottomRight" state="frozen"/>
      <selection activeCell="B4" sqref="B4"/>
      <selection pane="topRight" activeCell="F4" sqref="F4"/>
      <selection pane="bottomLeft" activeCell="B8" sqref="B8"/>
      <selection pane="bottomRight" activeCell="B82" sqref="B82:B83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19" width="1.28515625" style="7" customWidth="1"/>
    <col min="20" max="22" width="9.5703125" style="7" bestFit="1" customWidth="1"/>
    <col min="23" max="23" width="9.28515625" style="7" bestFit="1" customWidth="1"/>
    <col min="24" max="24" width="1" style="7" customWidth="1"/>
    <col min="25" max="26" width="10.5703125" style="7" bestFit="1" customWidth="1"/>
    <col min="27" max="27" width="9.5703125" style="7" bestFit="1" customWidth="1"/>
    <col min="28" max="28" width="1.140625" style="7" customWidth="1"/>
    <col min="29" max="30" width="9.140625" style="7"/>
    <col min="31" max="31" width="21.5703125" style="7" bestFit="1" customWidth="1"/>
    <col min="32" max="33" width="11.85546875" style="7" bestFit="1" customWidth="1"/>
    <col min="34" max="34" width="11.5703125" style="7" bestFit="1" customWidth="1"/>
    <col min="35" max="36" width="11.85546875" style="7" bestFit="1" customWidth="1"/>
    <col min="37" max="37" width="1.140625" style="7" customWidth="1"/>
    <col min="38" max="38" width="9.140625" style="7"/>
    <col min="39" max="39" width="10.28515625" style="7" bestFit="1" customWidth="1"/>
    <col min="40" max="40" width="10.7109375" style="7" customWidth="1"/>
    <col min="41" max="42" width="9.140625" style="7"/>
    <col min="43" max="43" width="1.140625" style="7" customWidth="1"/>
    <col min="44" max="16384" width="9.140625" style="7"/>
  </cols>
  <sheetData>
    <row r="3" spans="2:31" x14ac:dyDescent="0.25">
      <c r="K3" s="15">
        <f>7000/D52</f>
        <v>0.38222125150158343</v>
      </c>
      <c r="M3" s="15">
        <f>K52/D52</f>
        <v>0.39999999999999997</v>
      </c>
      <c r="Y3" s="7">
        <f>384/0.78</f>
        <v>492.30769230769226</v>
      </c>
      <c r="Z3" s="7">
        <v>525</v>
      </c>
      <c r="AA3" s="7">
        <f>Z3*0.73</f>
        <v>383.25</v>
      </c>
    </row>
    <row r="6" spans="2:31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" t="s">
        <v>1</v>
      </c>
      <c r="T6" s="81" t="s">
        <v>2</v>
      </c>
      <c r="U6" s="81"/>
      <c r="V6" s="81"/>
      <c r="W6" s="81"/>
      <c r="Y6" s="81" t="s">
        <v>3</v>
      </c>
      <c r="Z6" s="81"/>
      <c r="AA6" s="81"/>
      <c r="AC6" s="8" t="s">
        <v>23</v>
      </c>
    </row>
    <row r="7" spans="2:31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5</v>
      </c>
      <c r="T7" s="9" t="s">
        <v>5</v>
      </c>
      <c r="U7" s="9" t="s">
        <v>6</v>
      </c>
      <c r="V7" s="9" t="s">
        <v>7</v>
      </c>
      <c r="W7" s="9" t="s">
        <v>11</v>
      </c>
      <c r="X7" s="10"/>
      <c r="Y7" s="9" t="s">
        <v>5</v>
      </c>
      <c r="Z7" s="9" t="s">
        <v>6</v>
      </c>
      <c r="AA7" s="9" t="s">
        <v>11</v>
      </c>
      <c r="AC7" s="9" t="s">
        <v>11</v>
      </c>
    </row>
    <row r="8" spans="2:31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>
        <v>0</v>
      </c>
      <c r="N8" s="5">
        <v>700</v>
      </c>
      <c r="O8" s="5">
        <v>700</v>
      </c>
      <c r="P8" s="5">
        <f>SUM(M8:O8)</f>
        <v>1400</v>
      </c>
      <c r="Q8" s="2"/>
      <c r="R8" s="5">
        <v>380</v>
      </c>
      <c r="S8" s="2"/>
      <c r="T8" s="5">
        <v>360</v>
      </c>
      <c r="U8" s="5">
        <v>270</v>
      </c>
      <c r="V8" s="5">
        <v>270</v>
      </c>
      <c r="W8" s="5">
        <f>SUM(T8:V8)</f>
        <v>900</v>
      </c>
      <c r="X8" s="4"/>
      <c r="Y8" s="5">
        <v>535</v>
      </c>
      <c r="Z8" s="5">
        <v>700</v>
      </c>
      <c r="AA8" s="5">
        <f>SUM(Y8:Z8)</f>
        <v>1235</v>
      </c>
      <c r="AC8" s="1">
        <f>AA8+W8+R8+P8+K8</f>
        <v>5405</v>
      </c>
    </row>
    <row r="9" spans="2:31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0.78</v>
      </c>
      <c r="S9" s="12"/>
      <c r="T9" s="22">
        <v>0.78</v>
      </c>
      <c r="U9" s="22">
        <v>0.78</v>
      </c>
      <c r="V9" s="22">
        <v>0.78</v>
      </c>
      <c r="W9" s="22"/>
      <c r="X9" s="14"/>
      <c r="Y9" s="22">
        <v>0.78</v>
      </c>
      <c r="Z9" s="22">
        <v>0.78</v>
      </c>
      <c r="AA9" s="22"/>
      <c r="AB9" s="15"/>
      <c r="AC9" s="21"/>
      <c r="AD9" s="15"/>
      <c r="AE9" s="15"/>
    </row>
    <row r="10" spans="2:31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" si="1">M8*M9</f>
        <v>0</v>
      </c>
      <c r="N10" s="5">
        <f t="shared" ref="N10" si="2">N8*N9</f>
        <v>546</v>
      </c>
      <c r="O10" s="5">
        <f t="shared" ref="O10" si="3">O8*O9</f>
        <v>546</v>
      </c>
      <c r="P10" s="5">
        <f>SUM(M10:O10)</f>
        <v>1092</v>
      </c>
      <c r="Q10" s="2"/>
      <c r="R10" s="5">
        <f t="shared" ref="R10" si="4">R8*R9</f>
        <v>296.40000000000003</v>
      </c>
      <c r="S10" s="2"/>
      <c r="T10" s="5">
        <f>T8*T9</f>
        <v>280.8</v>
      </c>
      <c r="U10" s="5">
        <f t="shared" ref="U10" si="5">U8*U9</f>
        <v>210.6</v>
      </c>
      <c r="V10" s="5">
        <f t="shared" ref="V10" si="6">V8*V9</f>
        <v>210.6</v>
      </c>
      <c r="W10" s="5">
        <f>SUM(T10:V10)</f>
        <v>702</v>
      </c>
      <c r="X10" s="4"/>
      <c r="Y10" s="5">
        <f t="shared" ref="Y10" si="7">Y8*Y9</f>
        <v>417.3</v>
      </c>
      <c r="Z10" s="5">
        <f t="shared" ref="Z10" si="8">Z8*Z9</f>
        <v>546</v>
      </c>
      <c r="AA10" s="5">
        <f>SUM(Y10:Z10)</f>
        <v>963.3</v>
      </c>
      <c r="AC10" s="1">
        <f>AA10+W10+R10+P10+K10</f>
        <v>4215.8999999999996</v>
      </c>
    </row>
    <row r="11" spans="2:31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2"/>
      <c r="R11" s="5">
        <v>31</v>
      </c>
      <c r="S11" s="2"/>
      <c r="T11" s="5">
        <v>31</v>
      </c>
      <c r="U11" s="5">
        <v>31</v>
      </c>
      <c r="V11" s="5">
        <v>31</v>
      </c>
      <c r="W11" s="5"/>
      <c r="X11" s="4"/>
      <c r="Y11" s="5">
        <v>31</v>
      </c>
      <c r="Z11" s="5">
        <v>31</v>
      </c>
      <c r="AA11" s="5"/>
      <c r="AC11" s="1"/>
    </row>
    <row r="12" spans="2:31" x14ac:dyDescent="0.25">
      <c r="B12" s="19" t="s">
        <v>13</v>
      </c>
      <c r="F12" s="39">
        <v>3.5</v>
      </c>
      <c r="G12" s="39">
        <v>3.5</v>
      </c>
      <c r="H12" s="39">
        <v>3.5</v>
      </c>
      <c r="I12" s="39">
        <v>3.5</v>
      </c>
      <c r="J12" s="39">
        <v>3.5</v>
      </c>
      <c r="K12" s="5"/>
      <c r="L12" s="3"/>
      <c r="M12" s="39">
        <v>3.5</v>
      </c>
      <c r="N12" s="39">
        <v>3.5</v>
      </c>
      <c r="O12" s="39">
        <v>3.5</v>
      </c>
      <c r="P12" s="5"/>
      <c r="Q12" s="2"/>
      <c r="R12" s="39">
        <v>3.5</v>
      </c>
      <c r="S12" s="2"/>
      <c r="T12" s="39">
        <v>3.5</v>
      </c>
      <c r="U12" s="39">
        <v>3.5</v>
      </c>
      <c r="V12" s="39">
        <v>3.5</v>
      </c>
      <c r="W12" s="5"/>
      <c r="Y12" s="39">
        <v>3.5</v>
      </c>
      <c r="Z12" s="39">
        <v>3.5</v>
      </c>
      <c r="AA12" s="5"/>
      <c r="AC12" s="1"/>
    </row>
    <row r="13" spans="2:31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2"/>
      <c r="R13" s="22">
        <v>0.25</v>
      </c>
      <c r="S13" s="2"/>
      <c r="T13" s="22">
        <v>0.25</v>
      </c>
      <c r="U13" s="22">
        <v>0.25</v>
      </c>
      <c r="V13" s="22">
        <v>0.25</v>
      </c>
      <c r="W13" s="5"/>
      <c r="Y13" s="22">
        <v>0.25</v>
      </c>
      <c r="Z13" s="22">
        <v>0.25</v>
      </c>
      <c r="AA13" s="5"/>
      <c r="AC13" s="1"/>
    </row>
    <row r="14" spans="2:31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2"/>
      <c r="R14" s="39">
        <v>1</v>
      </c>
      <c r="S14" s="2"/>
      <c r="T14" s="39">
        <v>1.5</v>
      </c>
      <c r="U14" s="39">
        <v>1.5</v>
      </c>
      <c r="V14" s="39">
        <v>1.5</v>
      </c>
      <c r="W14" s="5"/>
      <c r="Y14" s="39">
        <v>1</v>
      </c>
      <c r="Z14" s="39">
        <v>1</v>
      </c>
      <c r="AA14" s="5"/>
      <c r="AC14" s="1"/>
    </row>
    <row r="15" spans="2:31" x14ac:dyDescent="0.25">
      <c r="B15" s="19" t="s">
        <v>15</v>
      </c>
      <c r="F15" s="40">
        <f>F11-F12-F14-F13</f>
        <v>25.75</v>
      </c>
      <c r="G15" s="40">
        <f t="shared" ref="G15:J15" si="9">G11-G12-G14-G13</f>
        <v>25.75</v>
      </c>
      <c r="H15" s="40">
        <f t="shared" si="9"/>
        <v>25.75</v>
      </c>
      <c r="I15" s="40">
        <f t="shared" si="9"/>
        <v>25.75</v>
      </c>
      <c r="J15" s="40">
        <f t="shared" si="9"/>
        <v>25.75</v>
      </c>
      <c r="K15" s="1"/>
      <c r="M15" s="40">
        <f>M11-M12-M14-M13</f>
        <v>25.75</v>
      </c>
      <c r="N15" s="40">
        <f t="shared" ref="N15" si="10">N11-N12-N14-N13</f>
        <v>25.75</v>
      </c>
      <c r="O15" s="40">
        <f t="shared" ref="O15" si="11">O11-O12-O14-O13</f>
        <v>25.75</v>
      </c>
      <c r="P15" s="1"/>
      <c r="R15" s="40">
        <f>R11-R12-R14-R13</f>
        <v>26.25</v>
      </c>
      <c r="T15" s="40">
        <f t="shared" ref="T15:V15" si="12">T11-T12-T14-T13</f>
        <v>25.75</v>
      </c>
      <c r="U15" s="40">
        <f t="shared" si="12"/>
        <v>25.75</v>
      </c>
      <c r="V15" s="40">
        <f t="shared" si="12"/>
        <v>25.75</v>
      </c>
      <c r="W15" s="1"/>
      <c r="Y15" s="40">
        <f t="shared" ref="Y15" si="13">Y11-Y12-Y14-Y13</f>
        <v>26.25</v>
      </c>
      <c r="Z15" s="40">
        <f t="shared" ref="Z15" si="14">Z11-Z12-Z14-Z13</f>
        <v>26.25</v>
      </c>
      <c r="AA15" s="1"/>
      <c r="AC15" s="1"/>
    </row>
    <row r="16" spans="2:31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T16" s="21">
        <v>0.95</v>
      </c>
      <c r="U16" s="21">
        <v>0.95</v>
      </c>
      <c r="V16" s="21">
        <v>0.95</v>
      </c>
      <c r="W16" s="21"/>
      <c r="Y16" s="21">
        <v>0.9</v>
      </c>
      <c r="Z16" s="21">
        <v>0.9</v>
      </c>
      <c r="AA16" s="21"/>
      <c r="AC16" s="21"/>
    </row>
    <row r="17" spans="2:48" x14ac:dyDescent="0.25">
      <c r="B17" s="19" t="s">
        <v>17</v>
      </c>
      <c r="F17" s="1">
        <f>F16*F15*F10</f>
        <v>0</v>
      </c>
      <c r="G17" s="1">
        <f t="shared" ref="G17:J17" si="15">G16*G15*G10</f>
        <v>9038.25</v>
      </c>
      <c r="H17" s="1">
        <f t="shared" si="15"/>
        <v>9038.25</v>
      </c>
      <c r="I17" s="1">
        <f t="shared" si="15"/>
        <v>3976.83</v>
      </c>
      <c r="J17" s="1">
        <f t="shared" si="15"/>
        <v>4880.6549999999997</v>
      </c>
      <c r="K17" s="5">
        <f>SUM(F17:J17)</f>
        <v>26933.985000000001</v>
      </c>
      <c r="M17" s="1">
        <f t="shared" ref="M17:O17" si="16">M16*M15*M10</f>
        <v>0</v>
      </c>
      <c r="N17" s="1">
        <f t="shared" si="16"/>
        <v>12653.550000000001</v>
      </c>
      <c r="O17" s="1">
        <f t="shared" si="16"/>
        <v>12653.550000000001</v>
      </c>
      <c r="P17" s="5">
        <f>SUM(M17:O17)</f>
        <v>25307.100000000002</v>
      </c>
      <c r="R17" s="1">
        <f>R16*R15*R10</f>
        <v>7391.4750000000013</v>
      </c>
      <c r="T17" s="1">
        <f>T16*T15*T10</f>
        <v>6869.07</v>
      </c>
      <c r="U17" s="1">
        <f t="shared" ref="U17:V17" si="17">U16*U15*U10</f>
        <v>5151.8024999999998</v>
      </c>
      <c r="V17" s="1">
        <f t="shared" si="17"/>
        <v>5151.8024999999998</v>
      </c>
      <c r="W17" s="5">
        <f>SUM(T17:V17)</f>
        <v>17172.674999999999</v>
      </c>
      <c r="Y17" s="50">
        <f>Y16*Y15*Y10</f>
        <v>9858.7124999999996</v>
      </c>
      <c r="Z17" s="1">
        <f t="shared" ref="Z17" si="18">Z16*Z15*Z10</f>
        <v>12899.25</v>
      </c>
      <c r="AA17" s="5">
        <f>SUM(X17:Z17)</f>
        <v>22757.962500000001</v>
      </c>
      <c r="AC17" s="1">
        <f>AA17+W17+R17+P17+K17</f>
        <v>99563.197499999995</v>
      </c>
    </row>
    <row r="19" spans="2:48" x14ac:dyDescent="0.25">
      <c r="B19" s="19" t="s">
        <v>18</v>
      </c>
      <c r="C19" s="16">
        <f>C26+C27+C28+C29+C32</f>
        <v>65894</v>
      </c>
      <c r="F19" s="1">
        <f>F17</f>
        <v>0</v>
      </c>
      <c r="G19" s="1">
        <f t="shared" ref="G19:H19" si="19">G17</f>
        <v>9038.25</v>
      </c>
      <c r="H19" s="1">
        <f t="shared" si="19"/>
        <v>9038.25</v>
      </c>
      <c r="I19" s="1"/>
      <c r="J19" s="1"/>
      <c r="K19" s="5">
        <f t="shared" ref="K19:K24" si="20">SUM(F19:J19)</f>
        <v>18076.5</v>
      </c>
      <c r="M19" s="1">
        <f>M17*0.5</f>
        <v>0</v>
      </c>
      <c r="N19" s="1">
        <f>N17*0.8</f>
        <v>10122.840000000002</v>
      </c>
      <c r="O19" s="1">
        <f>O17</f>
        <v>12653.550000000001</v>
      </c>
      <c r="P19" s="5">
        <f t="shared" ref="P19:P24" si="21">SUM(M19:O19)</f>
        <v>22776.390000000003</v>
      </c>
      <c r="R19" s="1"/>
      <c r="T19" s="1">
        <f>T17-T23</f>
        <v>6340.6799999999994</v>
      </c>
      <c r="U19" s="1">
        <f t="shared" ref="U19:V19" si="22">U17-U23</f>
        <v>4755.51</v>
      </c>
      <c r="V19" s="1">
        <f t="shared" si="22"/>
        <v>4755.51</v>
      </c>
      <c r="W19" s="5">
        <f t="shared" ref="W19:W24" si="23">SUM(T19:V19)</f>
        <v>15851.699999999999</v>
      </c>
      <c r="Y19" s="1"/>
      <c r="Z19" s="1">
        <f>Z17*0.95</f>
        <v>12254.287499999999</v>
      </c>
      <c r="AA19" s="5">
        <f t="shared" ref="AA19:AA24" si="24">SUM(X19:Z19)</f>
        <v>12254.287499999999</v>
      </c>
      <c r="AC19" s="1">
        <f t="shared" ref="AC19:AC24" si="25">AA19+W19+R19+P19+K19</f>
        <v>68958.877500000002</v>
      </c>
    </row>
    <row r="20" spans="2:48" x14ac:dyDescent="0.25">
      <c r="B20" s="19" t="s">
        <v>79</v>
      </c>
      <c r="F20" s="1"/>
      <c r="G20" s="1"/>
      <c r="H20" s="1"/>
      <c r="I20" s="1"/>
      <c r="J20" s="1">
        <f>J17*0.5</f>
        <v>2440.3274999999999</v>
      </c>
      <c r="K20" s="5">
        <f t="shared" si="20"/>
        <v>2440.3274999999999</v>
      </c>
      <c r="M20" s="1"/>
      <c r="N20" s="1"/>
      <c r="O20" s="1"/>
      <c r="P20" s="5"/>
      <c r="R20" s="1"/>
      <c r="T20" s="1"/>
      <c r="U20" s="1"/>
      <c r="V20" s="1"/>
      <c r="W20" s="5"/>
      <c r="Y20" s="1"/>
      <c r="Z20" s="1"/>
      <c r="AA20" s="5"/>
      <c r="AC20" s="1">
        <f t="shared" si="25"/>
        <v>2440.3274999999999</v>
      </c>
    </row>
    <row r="21" spans="2:48" x14ac:dyDescent="0.25">
      <c r="B21" s="19" t="s">
        <v>19</v>
      </c>
      <c r="C21" s="16">
        <f>C31</f>
        <v>2000</v>
      </c>
      <c r="F21" s="1"/>
      <c r="G21" s="1"/>
      <c r="H21" s="1"/>
      <c r="I21" s="1"/>
      <c r="J21" s="1"/>
      <c r="K21" s="5">
        <f t="shared" si="20"/>
        <v>0</v>
      </c>
      <c r="M21" s="1">
        <f>M17*0.5</f>
        <v>0</v>
      </c>
      <c r="N21" s="1">
        <f>N17*0.2</f>
        <v>2530.7100000000005</v>
      </c>
      <c r="O21" s="1"/>
      <c r="P21" s="5">
        <f t="shared" si="21"/>
        <v>2530.7100000000005</v>
      </c>
      <c r="R21" s="1"/>
      <c r="T21" s="1"/>
      <c r="U21" s="1"/>
      <c r="V21" s="1"/>
      <c r="W21" s="5">
        <f t="shared" si="23"/>
        <v>0</v>
      </c>
      <c r="Y21" s="1"/>
      <c r="Z21" s="1"/>
      <c r="AA21" s="5">
        <f t="shared" si="24"/>
        <v>0</v>
      </c>
      <c r="AC21" s="1">
        <f t="shared" si="25"/>
        <v>2530.7100000000005</v>
      </c>
    </row>
    <row r="22" spans="2:48" x14ac:dyDescent="0.25">
      <c r="B22" s="19" t="s">
        <v>20</v>
      </c>
      <c r="C22" s="16">
        <f>C30</f>
        <v>3750</v>
      </c>
      <c r="F22" s="1"/>
      <c r="G22" s="1"/>
      <c r="H22" s="1"/>
      <c r="I22" s="1">
        <f>I17</f>
        <v>3976.83</v>
      </c>
      <c r="J22" s="1"/>
      <c r="K22" s="5">
        <f t="shared" si="20"/>
        <v>3976.83</v>
      </c>
      <c r="M22" s="1"/>
      <c r="N22" s="1"/>
      <c r="O22" s="1"/>
      <c r="P22" s="5">
        <f t="shared" si="21"/>
        <v>0</v>
      </c>
      <c r="R22" s="1"/>
      <c r="T22" s="1"/>
      <c r="U22" s="1"/>
      <c r="V22" s="1"/>
      <c r="W22" s="5">
        <f t="shared" si="23"/>
        <v>0</v>
      </c>
      <c r="Y22" s="1"/>
      <c r="Z22" s="1"/>
      <c r="AA22" s="5">
        <f t="shared" si="24"/>
        <v>0</v>
      </c>
      <c r="AC22" s="1">
        <f t="shared" si="25"/>
        <v>3976.83</v>
      </c>
    </row>
    <row r="23" spans="2:48" x14ac:dyDescent="0.25">
      <c r="B23" s="19" t="s">
        <v>21</v>
      </c>
      <c r="C23" s="16">
        <f>C35+C36+C37</f>
        <v>3600</v>
      </c>
      <c r="F23" s="1"/>
      <c r="G23" s="1"/>
      <c r="H23" s="1"/>
      <c r="I23" s="1"/>
      <c r="J23" s="1">
        <f>J17*0.5</f>
        <v>2440.3274999999999</v>
      </c>
      <c r="K23" s="5">
        <f t="shared" si="20"/>
        <v>2440.3274999999999</v>
      </c>
      <c r="M23" s="1"/>
      <c r="N23" s="1"/>
      <c r="O23" s="1"/>
      <c r="P23" s="5">
        <f t="shared" si="21"/>
        <v>0</v>
      </c>
      <c r="R23" s="1"/>
      <c r="T23" s="1">
        <f>(T17/T9)*0.06</f>
        <v>528.39</v>
      </c>
      <c r="U23" s="1">
        <f t="shared" ref="U23:V23" si="26">(U17/U9)*0.06</f>
        <v>396.2924999999999</v>
      </c>
      <c r="V23" s="1">
        <f t="shared" si="26"/>
        <v>396.2924999999999</v>
      </c>
      <c r="W23" s="5">
        <f t="shared" si="23"/>
        <v>1320.9749999999999</v>
      </c>
      <c r="Y23" s="1">
        <f>Y17*0.08</f>
        <v>788.697</v>
      </c>
      <c r="Z23" s="1">
        <f>Z17*0.05</f>
        <v>644.96250000000009</v>
      </c>
      <c r="AA23" s="5">
        <f t="shared" si="24"/>
        <v>1433.6595000000002</v>
      </c>
      <c r="AC23" s="1">
        <f t="shared" si="25"/>
        <v>5194.9619999999995</v>
      </c>
    </row>
    <row r="24" spans="2:48" x14ac:dyDescent="0.25">
      <c r="B24" s="19" t="s">
        <v>22</v>
      </c>
      <c r="C24" s="16">
        <f>C33+C34</f>
        <v>13700</v>
      </c>
      <c r="F24" s="1"/>
      <c r="G24" s="1"/>
      <c r="H24" s="1"/>
      <c r="I24" s="1"/>
      <c r="J24" s="1"/>
      <c r="K24" s="5">
        <f t="shared" si="20"/>
        <v>0</v>
      </c>
      <c r="M24" s="1"/>
      <c r="N24" s="1"/>
      <c r="O24" s="1"/>
      <c r="P24" s="5">
        <f t="shared" si="21"/>
        <v>0</v>
      </c>
      <c r="R24" s="1">
        <f>R17</f>
        <v>7391.4750000000013</v>
      </c>
      <c r="T24" s="1"/>
      <c r="U24" s="1"/>
      <c r="V24" s="1"/>
      <c r="W24" s="5">
        <f t="shared" si="23"/>
        <v>0</v>
      </c>
      <c r="Y24" s="1">
        <f>Y17-Y23</f>
        <v>9070.0154999999995</v>
      </c>
      <c r="Z24" s="1"/>
      <c r="AA24" s="5">
        <f t="shared" si="24"/>
        <v>9070.0154999999995</v>
      </c>
      <c r="AC24" s="1">
        <f t="shared" si="25"/>
        <v>16461.4905</v>
      </c>
      <c r="AF24" s="79" t="s">
        <v>106</v>
      </c>
      <c r="AG24" s="79"/>
      <c r="AH24" s="79"/>
      <c r="AI24" s="79"/>
      <c r="AJ24" s="79"/>
      <c r="AL24" s="79" t="s">
        <v>107</v>
      </c>
      <c r="AM24" s="79"/>
      <c r="AN24" s="79"/>
      <c r="AO24" s="79"/>
      <c r="AP24" s="79"/>
      <c r="AR24" s="79" t="s">
        <v>107</v>
      </c>
      <c r="AS24" s="79"/>
      <c r="AT24" s="79"/>
      <c r="AU24" s="79"/>
      <c r="AV24" s="79"/>
    </row>
    <row r="25" spans="2:48" x14ac:dyDescent="0.25">
      <c r="K25" s="2"/>
      <c r="P25" s="2"/>
      <c r="W25" s="2"/>
      <c r="AA25" s="2"/>
      <c r="AF25" s="7" t="s">
        <v>104</v>
      </c>
      <c r="AG25" s="7" t="s">
        <v>0</v>
      </c>
      <c r="AH25" s="7" t="s">
        <v>1</v>
      </c>
      <c r="AI25" s="7" t="s">
        <v>105</v>
      </c>
      <c r="AJ25" s="7" t="s">
        <v>3</v>
      </c>
      <c r="AL25" s="7" t="s">
        <v>104</v>
      </c>
      <c r="AM25" s="7" t="s">
        <v>0</v>
      </c>
      <c r="AN25" s="7" t="s">
        <v>1</v>
      </c>
      <c r="AO25" s="7" t="s">
        <v>105</v>
      </c>
      <c r="AP25" s="7" t="s">
        <v>3</v>
      </c>
      <c r="AR25" s="7" t="s">
        <v>104</v>
      </c>
      <c r="AS25" s="7" t="s">
        <v>0</v>
      </c>
      <c r="AT25" s="7" t="s">
        <v>1</v>
      </c>
      <c r="AU25" s="7" t="s">
        <v>105</v>
      </c>
      <c r="AV25" s="7" t="s">
        <v>3</v>
      </c>
    </row>
    <row r="26" spans="2:48" x14ac:dyDescent="0.25">
      <c r="B26" s="16" t="s">
        <v>86</v>
      </c>
      <c r="C26" s="16">
        <f>C62+C63+C64+C68+C69+C70</f>
        <v>27908</v>
      </c>
      <c r="D26" s="16">
        <f>D62+D63+D64+D68+D69+D70</f>
        <v>27908</v>
      </c>
      <c r="F26" s="16">
        <f t="shared" ref="F26:K26" si="27">F62+F63+F64+F68+F69+F70</f>
        <v>0</v>
      </c>
      <c r="G26" s="16">
        <f t="shared" si="27"/>
        <v>0</v>
      </c>
      <c r="H26" s="16">
        <f t="shared" si="27"/>
        <v>0</v>
      </c>
      <c r="I26" s="16">
        <f t="shared" si="27"/>
        <v>0</v>
      </c>
      <c r="J26" s="16">
        <f t="shared" si="27"/>
        <v>0</v>
      </c>
      <c r="K26" s="16">
        <f t="shared" si="27"/>
        <v>3800.9</v>
      </c>
      <c r="M26" s="16">
        <f t="shared" ref="M26:P26" si="28">M62+M63+M64+M68+M69+M70</f>
        <v>0</v>
      </c>
      <c r="N26" s="16">
        <f t="shared" si="28"/>
        <v>0</v>
      </c>
      <c r="O26" s="16">
        <f t="shared" si="28"/>
        <v>0</v>
      </c>
      <c r="P26" s="16">
        <f t="shared" si="28"/>
        <v>1006.3000000000001</v>
      </c>
      <c r="R26" s="16">
        <f t="shared" ref="R26" si="29">R62+R63+R64+R68+R69+R70</f>
        <v>0</v>
      </c>
      <c r="T26" s="16">
        <f t="shared" ref="T26:W26" si="30">T62+T63+T64+T68+T69+T70</f>
        <v>0</v>
      </c>
      <c r="U26" s="16">
        <f t="shared" si="30"/>
        <v>0</v>
      </c>
      <c r="V26" s="16">
        <f t="shared" si="30"/>
        <v>0</v>
      </c>
      <c r="W26" s="16">
        <f t="shared" si="30"/>
        <v>15006.7</v>
      </c>
      <c r="Y26" s="16">
        <f t="shared" ref="Y26:AA26" si="31">Y62+Y63+Y64+Y68+Y69+Y70</f>
        <v>0</v>
      </c>
      <c r="Z26" s="16">
        <f t="shared" si="31"/>
        <v>0</v>
      </c>
      <c r="AA26" s="16">
        <f t="shared" si="31"/>
        <v>8094.0999999999995</v>
      </c>
      <c r="AE26" s="7" t="str">
        <f>B26</f>
        <v>BFO</v>
      </c>
      <c r="AF26" s="7">
        <f>K26</f>
        <v>3800.9</v>
      </c>
      <c r="AG26" s="7">
        <f>P26</f>
        <v>1006.3000000000001</v>
      </c>
      <c r="AH26" s="7">
        <f>R26</f>
        <v>0</v>
      </c>
      <c r="AI26" s="7">
        <f>W26</f>
        <v>15006.7</v>
      </c>
      <c r="AJ26" s="7">
        <f>AA26</f>
        <v>8094.0999999999995</v>
      </c>
      <c r="AL26" s="7">
        <f>AF26/0.78</f>
        <v>4872.9487179487178</v>
      </c>
      <c r="AM26" s="7">
        <f t="shared" ref="AM26:AP26" si="32">AG26/0.78</f>
        <v>1290.1282051282051</v>
      </c>
      <c r="AN26" s="7">
        <f t="shared" si="32"/>
        <v>0</v>
      </c>
      <c r="AO26" s="7">
        <f t="shared" si="32"/>
        <v>19239.358974358976</v>
      </c>
      <c r="AP26" s="7">
        <f t="shared" si="32"/>
        <v>10377.051282051281</v>
      </c>
      <c r="AR26" s="7">
        <f>AL26/0.78</f>
        <v>6247.3701512163043</v>
      </c>
      <c r="AS26" s="7">
        <f t="shared" ref="AS26:AS37" si="33">AM26/0.78</f>
        <v>1654.0105193951347</v>
      </c>
      <c r="AT26" s="7">
        <f t="shared" ref="AT26:AT37" si="34">AN26/0.78</f>
        <v>0</v>
      </c>
      <c r="AU26" s="7">
        <f t="shared" ref="AU26:AU37" si="35">AO26/0.78</f>
        <v>24665.844838921763</v>
      </c>
      <c r="AV26" s="7">
        <f t="shared" ref="AV26:AV37" si="36">AP26/0.78</f>
        <v>13303.911900065745</v>
      </c>
    </row>
    <row r="27" spans="2:48" x14ac:dyDescent="0.25">
      <c r="B27" s="16" t="s">
        <v>87</v>
      </c>
      <c r="C27" s="16">
        <f>C52</f>
        <v>18314</v>
      </c>
      <c r="D27" s="16">
        <f>D52</f>
        <v>18314.000000000004</v>
      </c>
      <c r="F27" s="16">
        <f t="shared" ref="F27:K27" si="37">F52</f>
        <v>0</v>
      </c>
      <c r="G27" s="16">
        <f t="shared" si="37"/>
        <v>0</v>
      </c>
      <c r="H27" s="16">
        <f t="shared" si="37"/>
        <v>0</v>
      </c>
      <c r="I27" s="16">
        <f t="shared" si="37"/>
        <v>0</v>
      </c>
      <c r="J27" s="16">
        <f t="shared" si="37"/>
        <v>0</v>
      </c>
      <c r="K27" s="16">
        <f t="shared" si="37"/>
        <v>7325.6</v>
      </c>
      <c r="M27" s="16">
        <f t="shared" ref="M27:P27" si="38">M52</f>
        <v>0</v>
      </c>
      <c r="N27" s="16">
        <f t="shared" si="38"/>
        <v>0</v>
      </c>
      <c r="O27" s="16">
        <f t="shared" si="38"/>
        <v>0</v>
      </c>
      <c r="P27" s="16">
        <f t="shared" si="38"/>
        <v>9889.5600000000013</v>
      </c>
      <c r="R27" s="16">
        <f t="shared" ref="R27" si="39">R52</f>
        <v>0</v>
      </c>
      <c r="T27" s="16">
        <f t="shared" ref="T27:W27" si="40">T52</f>
        <v>0</v>
      </c>
      <c r="U27" s="16">
        <f t="shared" si="40"/>
        <v>0</v>
      </c>
      <c r="V27" s="16">
        <f t="shared" si="40"/>
        <v>0</v>
      </c>
      <c r="W27" s="16">
        <f t="shared" si="40"/>
        <v>1098.8399999999999</v>
      </c>
      <c r="Y27" s="16">
        <f t="shared" ref="Y27:AA27" si="41">Y52</f>
        <v>0</v>
      </c>
      <c r="Z27" s="16">
        <f t="shared" si="41"/>
        <v>0</v>
      </c>
      <c r="AA27" s="16">
        <f t="shared" si="41"/>
        <v>0</v>
      </c>
      <c r="AE27" s="7" t="str">
        <f t="shared" ref="AE27:AE37" si="42">B27</f>
        <v>MGF</v>
      </c>
      <c r="AF27" s="7">
        <f t="shared" ref="AF27:AF37" si="43">K27</f>
        <v>7325.6</v>
      </c>
      <c r="AG27" s="7">
        <f t="shared" ref="AG27:AG37" si="44">P27</f>
        <v>9889.5600000000013</v>
      </c>
      <c r="AH27" s="7">
        <f t="shared" ref="AH27:AH37" si="45">R27</f>
        <v>0</v>
      </c>
      <c r="AI27" s="7">
        <f t="shared" ref="AI27:AI37" si="46">W27</f>
        <v>1098.8399999999999</v>
      </c>
      <c r="AJ27" s="7">
        <f t="shared" ref="AJ27:AJ37" si="47">AA27</f>
        <v>0</v>
      </c>
      <c r="AL27" s="7">
        <f t="shared" ref="AL27:AL38" si="48">AF27/0.78</f>
        <v>9391.7948717948711</v>
      </c>
      <c r="AM27" s="7">
        <f t="shared" ref="AM27:AM37" si="49">AG27/0.78</f>
        <v>12678.923076923078</v>
      </c>
      <c r="AN27" s="7">
        <f t="shared" ref="AN27:AN37" si="50">AH27/0.78</f>
        <v>0</v>
      </c>
      <c r="AO27" s="7">
        <f t="shared" ref="AO27:AO37" si="51">AI27/0.78</f>
        <v>1408.7692307692307</v>
      </c>
      <c r="AP27" s="7">
        <f t="shared" ref="AP27:AP37" si="52">AJ27/0.78</f>
        <v>0</v>
      </c>
      <c r="AR27" s="7">
        <f t="shared" ref="AR27:AR38" si="53">AL27/0.78</f>
        <v>12040.76265614727</v>
      </c>
      <c r="AS27" s="7">
        <f t="shared" si="33"/>
        <v>16255.029585798817</v>
      </c>
      <c r="AT27" s="7">
        <f t="shared" si="34"/>
        <v>0</v>
      </c>
      <c r="AU27" s="7">
        <f t="shared" si="35"/>
        <v>1806.1143984220905</v>
      </c>
      <c r="AV27" s="7">
        <f t="shared" si="36"/>
        <v>0</v>
      </c>
    </row>
    <row r="28" spans="2:48" x14ac:dyDescent="0.25">
      <c r="B28" s="16" t="s">
        <v>88</v>
      </c>
      <c r="C28" s="16">
        <f>C53</f>
        <v>6000</v>
      </c>
      <c r="D28" s="16">
        <f>D53</f>
        <v>6000</v>
      </c>
      <c r="F28" s="16">
        <f t="shared" ref="F28:K28" si="54">F53</f>
        <v>0</v>
      </c>
      <c r="G28" s="16">
        <f t="shared" si="54"/>
        <v>0</v>
      </c>
      <c r="H28" s="16">
        <f t="shared" si="54"/>
        <v>0</v>
      </c>
      <c r="I28" s="16">
        <f t="shared" si="54"/>
        <v>0</v>
      </c>
      <c r="J28" s="16">
        <f t="shared" si="54"/>
        <v>0</v>
      </c>
      <c r="K28" s="16">
        <f t="shared" si="54"/>
        <v>6000</v>
      </c>
      <c r="M28" s="16">
        <f t="shared" ref="M28:P28" si="55">M53</f>
        <v>0</v>
      </c>
      <c r="N28" s="16">
        <f t="shared" si="55"/>
        <v>0</v>
      </c>
      <c r="O28" s="16">
        <f t="shared" si="55"/>
        <v>0</v>
      </c>
      <c r="P28" s="16">
        <f t="shared" si="55"/>
        <v>0</v>
      </c>
      <c r="R28" s="16">
        <f t="shared" ref="R28" si="56">R53</f>
        <v>0</v>
      </c>
      <c r="T28" s="16">
        <f t="shared" ref="T28:W28" si="57">T53</f>
        <v>0</v>
      </c>
      <c r="U28" s="16">
        <f t="shared" si="57"/>
        <v>0</v>
      </c>
      <c r="V28" s="16">
        <f t="shared" si="57"/>
        <v>0</v>
      </c>
      <c r="W28" s="16">
        <f t="shared" si="57"/>
        <v>0</v>
      </c>
      <c r="Y28" s="16">
        <f t="shared" ref="Y28:AA28" si="58">Y53</f>
        <v>0</v>
      </c>
      <c r="Z28" s="16">
        <f t="shared" si="58"/>
        <v>0</v>
      </c>
      <c r="AA28" s="16">
        <f t="shared" si="58"/>
        <v>0</v>
      </c>
      <c r="AE28" s="7" t="str">
        <f t="shared" si="42"/>
        <v>Bakewell</v>
      </c>
      <c r="AF28" s="7">
        <f t="shared" si="43"/>
        <v>6000</v>
      </c>
      <c r="AG28" s="7">
        <f t="shared" si="44"/>
        <v>0</v>
      </c>
      <c r="AH28" s="7">
        <f t="shared" si="45"/>
        <v>0</v>
      </c>
      <c r="AI28" s="7">
        <f t="shared" si="46"/>
        <v>0</v>
      </c>
      <c r="AJ28" s="7">
        <f t="shared" si="47"/>
        <v>0</v>
      </c>
      <c r="AL28" s="7">
        <f t="shared" si="48"/>
        <v>7692.3076923076924</v>
      </c>
      <c r="AM28" s="7">
        <f t="shared" si="49"/>
        <v>0</v>
      </c>
      <c r="AN28" s="7">
        <f t="shared" si="50"/>
        <v>0</v>
      </c>
      <c r="AO28" s="7">
        <f t="shared" si="51"/>
        <v>0</v>
      </c>
      <c r="AP28" s="7">
        <f t="shared" si="52"/>
        <v>0</v>
      </c>
      <c r="AR28" s="7">
        <f t="shared" si="53"/>
        <v>9861.9329388560163</v>
      </c>
      <c r="AS28" s="7">
        <f t="shared" si="33"/>
        <v>0</v>
      </c>
      <c r="AT28" s="7">
        <f t="shared" si="34"/>
        <v>0</v>
      </c>
      <c r="AU28" s="7">
        <f t="shared" si="35"/>
        <v>0</v>
      </c>
      <c r="AV28" s="7">
        <f t="shared" si="36"/>
        <v>0</v>
      </c>
    </row>
    <row r="29" spans="2:48" x14ac:dyDescent="0.25">
      <c r="B29" s="16" t="s">
        <v>89</v>
      </c>
      <c r="C29" s="16">
        <f>C65</f>
        <v>13172</v>
      </c>
      <c r="D29" s="16">
        <f>D65</f>
        <v>13172.000000000002</v>
      </c>
      <c r="F29" s="16">
        <f t="shared" ref="F29:K29" si="59">F65</f>
        <v>0</v>
      </c>
      <c r="G29" s="16">
        <f t="shared" si="59"/>
        <v>0</v>
      </c>
      <c r="H29" s="16">
        <f t="shared" si="59"/>
        <v>0</v>
      </c>
      <c r="I29" s="16">
        <f t="shared" si="59"/>
        <v>0</v>
      </c>
      <c r="J29" s="16">
        <f t="shared" si="59"/>
        <v>0</v>
      </c>
      <c r="K29" s="16">
        <f t="shared" si="59"/>
        <v>0</v>
      </c>
      <c r="M29" s="16">
        <f t="shared" ref="M29:P29" si="60">M65</f>
        <v>0</v>
      </c>
      <c r="N29" s="16">
        <f t="shared" si="60"/>
        <v>0</v>
      </c>
      <c r="O29" s="16">
        <f t="shared" si="60"/>
        <v>0</v>
      </c>
      <c r="P29" s="16">
        <f t="shared" si="60"/>
        <v>11854.800000000001</v>
      </c>
      <c r="R29" s="16">
        <f t="shared" ref="R29" si="61">R65</f>
        <v>0</v>
      </c>
      <c r="T29" s="16">
        <f t="shared" ref="T29:W29" si="62">T65</f>
        <v>0</v>
      </c>
      <c r="U29" s="16">
        <f t="shared" si="62"/>
        <v>0</v>
      </c>
      <c r="V29" s="16">
        <f t="shared" si="62"/>
        <v>0</v>
      </c>
      <c r="W29" s="16">
        <f t="shared" si="62"/>
        <v>0</v>
      </c>
      <c r="Y29" s="16">
        <f t="shared" ref="Y29:AA29" si="63">Y65</f>
        <v>0</v>
      </c>
      <c r="Z29" s="16">
        <f t="shared" si="63"/>
        <v>0</v>
      </c>
      <c r="AA29" s="16">
        <f t="shared" si="63"/>
        <v>1317.2</v>
      </c>
      <c r="AE29" s="7" t="str">
        <f t="shared" si="42"/>
        <v>PFF</v>
      </c>
      <c r="AF29" s="7">
        <f t="shared" si="43"/>
        <v>0</v>
      </c>
      <c r="AG29" s="7">
        <f t="shared" si="44"/>
        <v>11854.800000000001</v>
      </c>
      <c r="AH29" s="7">
        <f t="shared" si="45"/>
        <v>0</v>
      </c>
      <c r="AI29" s="7">
        <f t="shared" si="46"/>
        <v>0</v>
      </c>
      <c r="AJ29" s="7">
        <f t="shared" si="47"/>
        <v>1317.2</v>
      </c>
      <c r="AL29" s="7">
        <f t="shared" si="48"/>
        <v>0</v>
      </c>
      <c r="AM29" s="7">
        <f t="shared" si="49"/>
        <v>15198.461538461539</v>
      </c>
      <c r="AN29" s="7">
        <f t="shared" si="50"/>
        <v>0</v>
      </c>
      <c r="AO29" s="7">
        <f t="shared" si="51"/>
        <v>0</v>
      </c>
      <c r="AP29" s="7">
        <f t="shared" si="52"/>
        <v>1688.7179487179487</v>
      </c>
      <c r="AR29" s="7">
        <f t="shared" si="53"/>
        <v>0</v>
      </c>
      <c r="AS29" s="7">
        <f t="shared" si="33"/>
        <v>19485.207100591717</v>
      </c>
      <c r="AT29" s="7">
        <f t="shared" si="34"/>
        <v>0</v>
      </c>
      <c r="AU29" s="7">
        <f t="shared" si="35"/>
        <v>0</v>
      </c>
      <c r="AV29" s="7">
        <f t="shared" si="36"/>
        <v>2165.0230111768574</v>
      </c>
    </row>
    <row r="30" spans="2:48" x14ac:dyDescent="0.25">
      <c r="B30" s="16" t="s">
        <v>20</v>
      </c>
      <c r="C30" s="16">
        <f>C44+C67</f>
        <v>3750</v>
      </c>
      <c r="D30" s="16">
        <f>D44+D67</f>
        <v>3750</v>
      </c>
      <c r="F30" s="16">
        <f t="shared" ref="F30:K30" si="64">F44+F67</f>
        <v>0</v>
      </c>
      <c r="G30" s="16">
        <f t="shared" si="64"/>
        <v>0</v>
      </c>
      <c r="H30" s="16">
        <f t="shared" si="64"/>
        <v>0</v>
      </c>
      <c r="I30" s="16">
        <f t="shared" si="64"/>
        <v>0</v>
      </c>
      <c r="J30" s="16">
        <f t="shared" si="64"/>
        <v>0</v>
      </c>
      <c r="K30" s="16">
        <f t="shared" si="64"/>
        <v>3750</v>
      </c>
      <c r="M30" s="16">
        <f t="shared" ref="M30:P30" si="65">M44+M67</f>
        <v>0</v>
      </c>
      <c r="N30" s="16">
        <f t="shared" si="65"/>
        <v>0</v>
      </c>
      <c r="O30" s="16">
        <f t="shared" si="65"/>
        <v>0</v>
      </c>
      <c r="P30" s="16">
        <f t="shared" si="65"/>
        <v>0</v>
      </c>
      <c r="R30" s="16">
        <f t="shared" ref="R30" si="66">R44+R67</f>
        <v>0</v>
      </c>
      <c r="T30" s="16">
        <f t="shared" ref="T30:W30" si="67">T44+T67</f>
        <v>0</v>
      </c>
      <c r="U30" s="16">
        <f t="shared" si="67"/>
        <v>0</v>
      </c>
      <c r="V30" s="16">
        <f t="shared" si="67"/>
        <v>0</v>
      </c>
      <c r="W30" s="16">
        <f t="shared" si="67"/>
        <v>0</v>
      </c>
      <c r="Y30" s="16">
        <f t="shared" ref="Y30:AA30" si="68">Y44+Y67</f>
        <v>0</v>
      </c>
      <c r="Z30" s="16">
        <f t="shared" si="68"/>
        <v>0</v>
      </c>
      <c r="AA30" s="16">
        <f t="shared" si="68"/>
        <v>0</v>
      </c>
      <c r="AE30" s="7" t="str">
        <f t="shared" si="42"/>
        <v>Biscuit</v>
      </c>
      <c r="AF30" s="7">
        <f t="shared" si="43"/>
        <v>3750</v>
      </c>
      <c r="AG30" s="7">
        <f t="shared" si="44"/>
        <v>0</v>
      </c>
      <c r="AH30" s="7">
        <f t="shared" si="45"/>
        <v>0</v>
      </c>
      <c r="AI30" s="7">
        <f t="shared" si="46"/>
        <v>0</v>
      </c>
      <c r="AJ30" s="7">
        <f t="shared" si="47"/>
        <v>0</v>
      </c>
      <c r="AL30" s="7">
        <f t="shared" si="48"/>
        <v>4807.6923076923076</v>
      </c>
      <c r="AM30" s="7">
        <f t="shared" si="49"/>
        <v>0</v>
      </c>
      <c r="AN30" s="7">
        <f t="shared" si="50"/>
        <v>0</v>
      </c>
      <c r="AO30" s="7">
        <f t="shared" si="51"/>
        <v>0</v>
      </c>
      <c r="AP30" s="7">
        <f t="shared" si="52"/>
        <v>0</v>
      </c>
      <c r="AR30" s="7">
        <f t="shared" si="53"/>
        <v>6163.70808678501</v>
      </c>
      <c r="AS30" s="7">
        <f t="shared" si="33"/>
        <v>0</v>
      </c>
      <c r="AT30" s="7">
        <f t="shared" si="34"/>
        <v>0</v>
      </c>
      <c r="AU30" s="7">
        <f t="shared" si="35"/>
        <v>0</v>
      </c>
      <c r="AV30" s="7">
        <f t="shared" si="36"/>
        <v>0</v>
      </c>
    </row>
    <row r="31" spans="2:48" x14ac:dyDescent="0.25">
      <c r="B31" s="16" t="s">
        <v>90</v>
      </c>
      <c r="C31" s="16">
        <f>C45+C71</f>
        <v>2000</v>
      </c>
      <c r="D31" s="16">
        <f>D45+D71</f>
        <v>2000</v>
      </c>
      <c r="F31" s="16">
        <f t="shared" ref="F31:K31" si="69">F45+F71</f>
        <v>0</v>
      </c>
      <c r="G31" s="16">
        <f t="shared" si="69"/>
        <v>0</v>
      </c>
      <c r="H31" s="16">
        <f t="shared" si="69"/>
        <v>0</v>
      </c>
      <c r="I31" s="16">
        <f t="shared" si="69"/>
        <v>0</v>
      </c>
      <c r="J31" s="16">
        <f t="shared" si="69"/>
        <v>0</v>
      </c>
      <c r="K31" s="16">
        <f t="shared" si="69"/>
        <v>0</v>
      </c>
      <c r="M31" s="16">
        <f t="shared" ref="M31:P31" si="70">M45+M71</f>
        <v>0</v>
      </c>
      <c r="N31" s="16">
        <f t="shared" si="70"/>
        <v>0</v>
      </c>
      <c r="O31" s="16">
        <f t="shared" si="70"/>
        <v>0</v>
      </c>
      <c r="P31" s="16">
        <f t="shared" si="70"/>
        <v>1800</v>
      </c>
      <c r="R31" s="16">
        <f t="shared" ref="R31" si="71">R45+R71</f>
        <v>0</v>
      </c>
      <c r="T31" s="16">
        <f t="shared" ref="T31:W31" si="72">T45+T71</f>
        <v>0</v>
      </c>
      <c r="U31" s="16">
        <f t="shared" si="72"/>
        <v>0</v>
      </c>
      <c r="V31" s="16">
        <f t="shared" si="72"/>
        <v>0</v>
      </c>
      <c r="W31" s="16">
        <f t="shared" si="72"/>
        <v>0</v>
      </c>
      <c r="Y31" s="16">
        <f t="shared" ref="Y31:AA31" si="73">Y45+Y71</f>
        <v>0</v>
      </c>
      <c r="Z31" s="16">
        <f t="shared" si="73"/>
        <v>0</v>
      </c>
      <c r="AA31" s="16">
        <f t="shared" si="73"/>
        <v>200</v>
      </c>
      <c r="AE31" s="7" t="str">
        <f t="shared" si="42"/>
        <v>Noodles</v>
      </c>
      <c r="AF31" s="7">
        <f t="shared" si="43"/>
        <v>0</v>
      </c>
      <c r="AG31" s="7">
        <f t="shared" si="44"/>
        <v>1800</v>
      </c>
      <c r="AH31" s="7">
        <f t="shared" si="45"/>
        <v>0</v>
      </c>
      <c r="AI31" s="7">
        <f t="shared" si="46"/>
        <v>0</v>
      </c>
      <c r="AJ31" s="7">
        <f t="shared" si="47"/>
        <v>200</v>
      </c>
      <c r="AL31" s="7">
        <f t="shared" si="48"/>
        <v>0</v>
      </c>
      <c r="AM31" s="7">
        <f t="shared" si="49"/>
        <v>2307.6923076923076</v>
      </c>
      <c r="AN31" s="7">
        <f t="shared" si="50"/>
        <v>0</v>
      </c>
      <c r="AO31" s="7">
        <f t="shared" si="51"/>
        <v>0</v>
      </c>
      <c r="AP31" s="7">
        <f t="shared" si="52"/>
        <v>256.41025641025641</v>
      </c>
      <c r="AR31" s="7">
        <f t="shared" si="53"/>
        <v>0</v>
      </c>
      <c r="AS31" s="7">
        <f t="shared" si="33"/>
        <v>2958.5798816568044</v>
      </c>
      <c r="AT31" s="7">
        <f t="shared" si="34"/>
        <v>0</v>
      </c>
      <c r="AU31" s="7">
        <f t="shared" si="35"/>
        <v>0</v>
      </c>
      <c r="AV31" s="7">
        <f t="shared" si="36"/>
        <v>328.73109796186719</v>
      </c>
    </row>
    <row r="32" spans="2:48" x14ac:dyDescent="0.25">
      <c r="B32" s="16" t="s">
        <v>84</v>
      </c>
      <c r="C32" s="16">
        <f>C49</f>
        <v>500</v>
      </c>
      <c r="D32" s="16">
        <f>D49</f>
        <v>500</v>
      </c>
      <c r="F32" s="16">
        <f t="shared" ref="F32:K32" si="74">F49</f>
        <v>0</v>
      </c>
      <c r="G32" s="16">
        <f t="shared" si="74"/>
        <v>0</v>
      </c>
      <c r="H32" s="16">
        <f t="shared" si="74"/>
        <v>0</v>
      </c>
      <c r="I32" s="16">
        <f t="shared" si="74"/>
        <v>0</v>
      </c>
      <c r="J32" s="16">
        <f t="shared" si="74"/>
        <v>0</v>
      </c>
      <c r="K32" s="16">
        <f t="shared" si="74"/>
        <v>0</v>
      </c>
      <c r="M32" s="16">
        <f t="shared" ref="M32:P32" si="75">M49</f>
        <v>0</v>
      </c>
      <c r="N32" s="16">
        <f t="shared" si="75"/>
        <v>0</v>
      </c>
      <c r="O32" s="16">
        <f t="shared" si="75"/>
        <v>0</v>
      </c>
      <c r="P32" s="16">
        <f t="shared" si="75"/>
        <v>0</v>
      </c>
      <c r="R32" s="16">
        <f t="shared" ref="R32" si="76">R49</f>
        <v>0</v>
      </c>
      <c r="T32" s="16">
        <f t="shared" ref="T32:W32" si="77">T49</f>
        <v>0</v>
      </c>
      <c r="U32" s="16">
        <f t="shared" si="77"/>
        <v>0</v>
      </c>
      <c r="V32" s="16">
        <f t="shared" si="77"/>
        <v>0</v>
      </c>
      <c r="W32" s="16">
        <f t="shared" si="77"/>
        <v>500</v>
      </c>
      <c r="Y32" s="16">
        <f t="shared" ref="Y32:AA32" si="78">Y49</f>
        <v>0</v>
      </c>
      <c r="Z32" s="16">
        <f t="shared" si="78"/>
        <v>0</v>
      </c>
      <c r="AA32" s="16">
        <f t="shared" si="78"/>
        <v>0</v>
      </c>
      <c r="AE32" s="7" t="str">
        <f t="shared" si="42"/>
        <v>Madiga</v>
      </c>
      <c r="AF32" s="7">
        <f t="shared" si="43"/>
        <v>0</v>
      </c>
      <c r="AG32" s="7">
        <f t="shared" si="44"/>
        <v>0</v>
      </c>
      <c r="AH32" s="7">
        <f t="shared" si="45"/>
        <v>0</v>
      </c>
      <c r="AI32" s="7">
        <f t="shared" si="46"/>
        <v>500</v>
      </c>
      <c r="AJ32" s="7">
        <f t="shared" si="47"/>
        <v>0</v>
      </c>
      <c r="AL32" s="7">
        <f t="shared" si="48"/>
        <v>0</v>
      </c>
      <c r="AM32" s="7">
        <f t="shared" si="49"/>
        <v>0</v>
      </c>
      <c r="AN32" s="7">
        <f t="shared" si="50"/>
        <v>0</v>
      </c>
      <c r="AO32" s="7">
        <f t="shared" si="51"/>
        <v>641.02564102564099</v>
      </c>
      <c r="AP32" s="7">
        <f t="shared" si="52"/>
        <v>0</v>
      </c>
      <c r="AR32" s="7">
        <f t="shared" si="53"/>
        <v>0</v>
      </c>
      <c r="AS32" s="7">
        <f t="shared" si="33"/>
        <v>0</v>
      </c>
      <c r="AT32" s="7">
        <f t="shared" si="34"/>
        <v>0</v>
      </c>
      <c r="AU32" s="7">
        <f t="shared" si="35"/>
        <v>821.82774490466795</v>
      </c>
      <c r="AV32" s="7">
        <f t="shared" si="36"/>
        <v>0</v>
      </c>
    </row>
    <row r="33" spans="1:66" x14ac:dyDescent="0.25">
      <c r="B33" s="16" t="s">
        <v>91</v>
      </c>
      <c r="C33" s="16">
        <f>C46+C66</f>
        <v>11700</v>
      </c>
      <c r="D33" s="16">
        <f>D46+D66</f>
        <v>11700</v>
      </c>
      <c r="F33" s="16">
        <f t="shared" ref="F33:K33" si="79">F46+F66</f>
        <v>0</v>
      </c>
      <c r="G33" s="16">
        <f t="shared" si="79"/>
        <v>0</v>
      </c>
      <c r="H33" s="16">
        <f t="shared" si="79"/>
        <v>0</v>
      </c>
      <c r="I33" s="16">
        <f t="shared" si="79"/>
        <v>0</v>
      </c>
      <c r="J33" s="16">
        <f t="shared" si="79"/>
        <v>0</v>
      </c>
      <c r="K33" s="16">
        <f t="shared" si="79"/>
        <v>0</v>
      </c>
      <c r="M33" s="16">
        <f t="shared" ref="M33:P33" si="80">M46+M66</f>
        <v>0</v>
      </c>
      <c r="N33" s="16">
        <f t="shared" si="80"/>
        <v>0</v>
      </c>
      <c r="O33" s="16">
        <f t="shared" si="80"/>
        <v>0</v>
      </c>
      <c r="P33" s="16">
        <f t="shared" si="80"/>
        <v>0</v>
      </c>
      <c r="R33" s="16">
        <f t="shared" ref="R33" si="81">R46+R66</f>
        <v>5252.5</v>
      </c>
      <c r="T33" s="16">
        <f t="shared" ref="T33:W33" si="82">T46+T66</f>
        <v>0</v>
      </c>
      <c r="U33" s="16">
        <f t="shared" si="82"/>
        <v>0</v>
      </c>
      <c r="V33" s="16">
        <f t="shared" si="82"/>
        <v>0</v>
      </c>
      <c r="W33" s="16">
        <f t="shared" si="82"/>
        <v>0</v>
      </c>
      <c r="Y33" s="16">
        <f t="shared" ref="Y33:AA33" si="83">Y46+Y66</f>
        <v>0</v>
      </c>
      <c r="Z33" s="16">
        <f t="shared" si="83"/>
        <v>0</v>
      </c>
      <c r="AA33" s="16">
        <f t="shared" si="83"/>
        <v>6447.5000000000009</v>
      </c>
      <c r="AE33" s="7" t="str">
        <f t="shared" si="42"/>
        <v>Spaghetti</v>
      </c>
      <c r="AF33" s="7">
        <f t="shared" si="43"/>
        <v>0</v>
      </c>
      <c r="AG33" s="7">
        <f t="shared" si="44"/>
        <v>0</v>
      </c>
      <c r="AH33" s="7">
        <f t="shared" si="45"/>
        <v>5252.5</v>
      </c>
      <c r="AI33" s="7">
        <f t="shared" si="46"/>
        <v>0</v>
      </c>
      <c r="AJ33" s="7">
        <f t="shared" si="47"/>
        <v>6447.5000000000009</v>
      </c>
      <c r="AL33" s="7">
        <f t="shared" si="48"/>
        <v>0</v>
      </c>
      <c r="AM33" s="7">
        <f t="shared" si="49"/>
        <v>0</v>
      </c>
      <c r="AN33" s="7">
        <f t="shared" si="50"/>
        <v>6733.9743589743584</v>
      </c>
      <c r="AO33" s="7">
        <f t="shared" si="51"/>
        <v>0</v>
      </c>
      <c r="AP33" s="7">
        <f t="shared" si="52"/>
        <v>8266.0256410256425</v>
      </c>
      <c r="AR33" s="7">
        <f t="shared" si="53"/>
        <v>0</v>
      </c>
      <c r="AS33" s="7">
        <f t="shared" si="33"/>
        <v>0</v>
      </c>
      <c r="AT33" s="7">
        <f t="shared" si="34"/>
        <v>8633.300460223536</v>
      </c>
      <c r="AU33" s="7">
        <f t="shared" si="35"/>
        <v>0</v>
      </c>
      <c r="AV33" s="7">
        <f t="shared" si="36"/>
        <v>10597.468770545694</v>
      </c>
    </row>
    <row r="34" spans="1:66" x14ac:dyDescent="0.25">
      <c r="B34" s="16" t="s">
        <v>92</v>
      </c>
      <c r="C34" s="16">
        <f>C48+C50+C51+C81+C86</f>
        <v>2000</v>
      </c>
      <c r="D34" s="16">
        <f>D48+D50+D51+D81+D86</f>
        <v>2000</v>
      </c>
      <c r="F34" s="16">
        <f t="shared" ref="F34:K34" si="84">F48+F50+F51+F81+F86</f>
        <v>0</v>
      </c>
      <c r="G34" s="16">
        <f t="shared" si="84"/>
        <v>0</v>
      </c>
      <c r="H34" s="16">
        <f t="shared" si="84"/>
        <v>0</v>
      </c>
      <c r="I34" s="16">
        <f t="shared" si="84"/>
        <v>0</v>
      </c>
      <c r="J34" s="16">
        <f t="shared" si="84"/>
        <v>0</v>
      </c>
      <c r="K34" s="16">
        <f t="shared" si="84"/>
        <v>0</v>
      </c>
      <c r="M34" s="16">
        <f t="shared" ref="M34:P34" si="85">M48+M50+M51+M81+M86</f>
        <v>0</v>
      </c>
      <c r="N34" s="16">
        <f t="shared" si="85"/>
        <v>0</v>
      </c>
      <c r="O34" s="16">
        <f t="shared" si="85"/>
        <v>0</v>
      </c>
      <c r="P34" s="16">
        <f t="shared" si="85"/>
        <v>0</v>
      </c>
      <c r="R34" s="16">
        <f t="shared" ref="R34" si="86">R48+R50+R51+R81+R86</f>
        <v>0</v>
      </c>
      <c r="T34" s="16">
        <f t="shared" ref="T34:W34" si="87">T48+T50+T51+T81+T86</f>
        <v>0</v>
      </c>
      <c r="U34" s="16">
        <f t="shared" si="87"/>
        <v>0</v>
      </c>
      <c r="V34" s="16">
        <f t="shared" si="87"/>
        <v>0</v>
      </c>
      <c r="W34" s="16">
        <f t="shared" si="87"/>
        <v>0</v>
      </c>
      <c r="Y34" s="16">
        <f t="shared" ref="Y34:AA34" si="88">Y48+Y50+Y51+Y81+Y86</f>
        <v>0</v>
      </c>
      <c r="Z34" s="16">
        <f t="shared" si="88"/>
        <v>0</v>
      </c>
      <c r="AA34" s="16">
        <f t="shared" si="88"/>
        <v>2000</v>
      </c>
      <c r="AE34" s="7" t="str">
        <f t="shared" si="42"/>
        <v>Macroni</v>
      </c>
      <c r="AF34" s="7">
        <f t="shared" si="43"/>
        <v>0</v>
      </c>
      <c r="AG34" s="7">
        <f t="shared" si="44"/>
        <v>0</v>
      </c>
      <c r="AH34" s="7">
        <f t="shared" si="45"/>
        <v>0</v>
      </c>
      <c r="AI34" s="7">
        <f t="shared" si="46"/>
        <v>0</v>
      </c>
      <c r="AJ34" s="7">
        <f t="shared" si="47"/>
        <v>2000</v>
      </c>
      <c r="AL34" s="7">
        <f t="shared" si="48"/>
        <v>0</v>
      </c>
      <c r="AM34" s="7">
        <f t="shared" si="49"/>
        <v>0</v>
      </c>
      <c r="AN34" s="7">
        <f t="shared" si="50"/>
        <v>0</v>
      </c>
      <c r="AO34" s="7">
        <f t="shared" si="51"/>
        <v>0</v>
      </c>
      <c r="AP34" s="7">
        <f t="shared" si="52"/>
        <v>2564.102564102564</v>
      </c>
      <c r="AR34" s="7">
        <f t="shared" si="53"/>
        <v>0</v>
      </c>
      <c r="AS34" s="7">
        <f t="shared" si="33"/>
        <v>0</v>
      </c>
      <c r="AT34" s="7">
        <f t="shared" si="34"/>
        <v>0</v>
      </c>
      <c r="AU34" s="7">
        <f t="shared" si="35"/>
        <v>0</v>
      </c>
      <c r="AV34" s="7">
        <f t="shared" si="36"/>
        <v>3287.3109796186718</v>
      </c>
    </row>
    <row r="35" spans="1:66" x14ac:dyDescent="0.25">
      <c r="B35" s="16" t="s">
        <v>93</v>
      </c>
      <c r="C35" s="16">
        <f>C72+C73+C74+C75</f>
        <v>2550</v>
      </c>
      <c r="D35" s="16">
        <f>D72+D73+D74+D75</f>
        <v>2550</v>
      </c>
      <c r="F35" s="16">
        <f t="shared" ref="F35:K35" si="89">F72+F73+F74+F75</f>
        <v>0</v>
      </c>
      <c r="G35" s="16">
        <f t="shared" si="89"/>
        <v>0</v>
      </c>
      <c r="H35" s="16">
        <f t="shared" si="89"/>
        <v>0</v>
      </c>
      <c r="I35" s="16">
        <f t="shared" si="89"/>
        <v>0</v>
      </c>
      <c r="J35" s="16">
        <f t="shared" si="89"/>
        <v>0</v>
      </c>
      <c r="K35" s="16">
        <f t="shared" si="89"/>
        <v>1275</v>
      </c>
      <c r="M35" s="16">
        <f t="shared" ref="M35:P35" si="90">M72+M73+M74+M75</f>
        <v>0</v>
      </c>
      <c r="N35" s="16">
        <f t="shared" si="90"/>
        <v>0</v>
      </c>
      <c r="O35" s="16">
        <f t="shared" si="90"/>
        <v>0</v>
      </c>
      <c r="P35" s="16">
        <f t="shared" si="90"/>
        <v>0</v>
      </c>
      <c r="R35" s="16">
        <f t="shared" ref="R35" si="91">R72+R73+R74+R75</f>
        <v>0</v>
      </c>
      <c r="T35" s="16">
        <f t="shared" ref="T35:W35" si="92">T72+T73+T74+T75</f>
        <v>0</v>
      </c>
      <c r="U35" s="16">
        <f t="shared" si="92"/>
        <v>0</v>
      </c>
      <c r="V35" s="16">
        <f t="shared" si="92"/>
        <v>0</v>
      </c>
      <c r="W35" s="16">
        <f t="shared" si="92"/>
        <v>765</v>
      </c>
      <c r="Y35" s="16">
        <f t="shared" ref="Y35:AA35" si="93">Y72+Y73+Y74+Y75</f>
        <v>0</v>
      </c>
      <c r="Z35" s="16">
        <f t="shared" si="93"/>
        <v>0</v>
      </c>
      <c r="AA35" s="16">
        <f t="shared" si="93"/>
        <v>509.99999999999994</v>
      </c>
      <c r="AE35" s="7" t="str">
        <f t="shared" si="42"/>
        <v>Supreme Semolina</v>
      </c>
      <c r="AF35" s="7">
        <f t="shared" si="43"/>
        <v>1275</v>
      </c>
      <c r="AG35" s="7">
        <f t="shared" si="44"/>
        <v>0</v>
      </c>
      <c r="AH35" s="7">
        <f t="shared" si="45"/>
        <v>0</v>
      </c>
      <c r="AI35" s="7">
        <f t="shared" si="46"/>
        <v>765</v>
      </c>
      <c r="AJ35" s="7">
        <f t="shared" si="47"/>
        <v>509.99999999999994</v>
      </c>
      <c r="AL35" s="7">
        <f t="shared" si="48"/>
        <v>1634.6153846153845</v>
      </c>
      <c r="AM35" s="7">
        <f t="shared" si="49"/>
        <v>0</v>
      </c>
      <c r="AN35" s="7">
        <f t="shared" si="50"/>
        <v>0</v>
      </c>
      <c r="AO35" s="7">
        <f t="shared" si="51"/>
        <v>980.76923076923072</v>
      </c>
      <c r="AP35" s="7">
        <f t="shared" si="52"/>
        <v>653.8461538461537</v>
      </c>
      <c r="AR35" s="7">
        <f t="shared" si="53"/>
        <v>2095.6607495069034</v>
      </c>
      <c r="AS35" s="7">
        <f t="shared" si="33"/>
        <v>0</v>
      </c>
      <c r="AT35" s="7">
        <f t="shared" si="34"/>
        <v>0</v>
      </c>
      <c r="AU35" s="7">
        <f t="shared" si="35"/>
        <v>1257.396449704142</v>
      </c>
      <c r="AV35" s="7">
        <f t="shared" si="36"/>
        <v>838.26429980276112</v>
      </c>
    </row>
    <row r="36" spans="1:66" x14ac:dyDescent="0.25">
      <c r="B36" s="16" t="s">
        <v>73</v>
      </c>
      <c r="C36" s="16">
        <f>C54+C55+C56+C57+C87+C88</f>
        <v>1050</v>
      </c>
      <c r="D36" s="16">
        <f>D54+D55+D56+D57+D87+D88</f>
        <v>1050</v>
      </c>
      <c r="F36" s="16">
        <f t="shared" ref="F36:K36" si="94">F54+F55+F56+F57+F87+F88</f>
        <v>0</v>
      </c>
      <c r="G36" s="16">
        <f t="shared" si="94"/>
        <v>0</v>
      </c>
      <c r="H36" s="16">
        <f t="shared" si="94"/>
        <v>0</v>
      </c>
      <c r="I36" s="16">
        <f t="shared" si="94"/>
        <v>0</v>
      </c>
      <c r="J36" s="16">
        <f t="shared" si="94"/>
        <v>0</v>
      </c>
      <c r="K36" s="16">
        <f t="shared" si="94"/>
        <v>1050</v>
      </c>
      <c r="M36" s="16">
        <f t="shared" ref="M36:P36" si="95">M54+M55+M56+M57+M87+M88</f>
        <v>0</v>
      </c>
      <c r="N36" s="16">
        <f t="shared" si="95"/>
        <v>0</v>
      </c>
      <c r="O36" s="16">
        <f t="shared" si="95"/>
        <v>0</v>
      </c>
      <c r="P36" s="16">
        <f t="shared" si="95"/>
        <v>0</v>
      </c>
      <c r="R36" s="16">
        <f t="shared" ref="R36" si="96">R54+R55+R56+R57+R87+R88</f>
        <v>0</v>
      </c>
      <c r="T36" s="16">
        <f t="shared" ref="T36:W36" si="97">T54+T55+T56+T57+T87+T88</f>
        <v>0</v>
      </c>
      <c r="U36" s="16">
        <f t="shared" si="97"/>
        <v>0</v>
      </c>
      <c r="V36" s="16">
        <f t="shared" si="97"/>
        <v>0</v>
      </c>
      <c r="W36" s="16">
        <f t="shared" si="97"/>
        <v>0</v>
      </c>
      <c r="Y36" s="16">
        <f t="shared" ref="Y36:AA36" si="98">Y54+Y55+Y56+Y57+Y87+Y88</f>
        <v>0</v>
      </c>
      <c r="Z36" s="16">
        <f t="shared" si="98"/>
        <v>0</v>
      </c>
      <c r="AA36" s="16">
        <f t="shared" si="98"/>
        <v>0</v>
      </c>
      <c r="AE36" s="7" t="str">
        <f t="shared" si="42"/>
        <v>Mama Gold Semolina</v>
      </c>
      <c r="AF36" s="7">
        <f t="shared" si="43"/>
        <v>1050</v>
      </c>
      <c r="AG36" s="7">
        <f t="shared" si="44"/>
        <v>0</v>
      </c>
      <c r="AH36" s="7">
        <f t="shared" si="45"/>
        <v>0</v>
      </c>
      <c r="AI36" s="7">
        <f t="shared" si="46"/>
        <v>0</v>
      </c>
      <c r="AJ36" s="7">
        <f t="shared" si="47"/>
        <v>0</v>
      </c>
      <c r="AL36" s="7">
        <f t="shared" si="48"/>
        <v>1346.1538461538462</v>
      </c>
      <c r="AM36" s="7">
        <f t="shared" si="49"/>
        <v>0</v>
      </c>
      <c r="AN36" s="7">
        <f t="shared" si="50"/>
        <v>0</v>
      </c>
      <c r="AO36" s="7">
        <f t="shared" si="51"/>
        <v>0</v>
      </c>
      <c r="AP36" s="7">
        <f t="shared" si="52"/>
        <v>0</v>
      </c>
      <c r="AR36" s="7">
        <f t="shared" si="53"/>
        <v>1725.8382642998029</v>
      </c>
      <c r="AS36" s="7">
        <f t="shared" si="33"/>
        <v>0</v>
      </c>
      <c r="AT36" s="7">
        <f t="shared" si="34"/>
        <v>0</v>
      </c>
      <c r="AU36" s="7">
        <f t="shared" si="35"/>
        <v>0</v>
      </c>
      <c r="AV36" s="7">
        <f t="shared" si="36"/>
        <v>0</v>
      </c>
    </row>
    <row r="37" spans="1:66" x14ac:dyDescent="0.25">
      <c r="B37" s="16" t="s">
        <v>94</v>
      </c>
      <c r="C37" s="16">
        <f>C78</f>
        <v>0</v>
      </c>
      <c r="D37" s="16">
        <f>D78</f>
        <v>0</v>
      </c>
      <c r="F37" s="16">
        <f t="shared" ref="F37:K37" si="99">F78</f>
        <v>0</v>
      </c>
      <c r="G37" s="16">
        <f t="shared" si="99"/>
        <v>0</v>
      </c>
      <c r="H37" s="16">
        <f t="shared" si="99"/>
        <v>0</v>
      </c>
      <c r="I37" s="16">
        <f t="shared" si="99"/>
        <v>0</v>
      </c>
      <c r="J37" s="16">
        <f t="shared" si="99"/>
        <v>0</v>
      </c>
      <c r="K37" s="16">
        <f t="shared" si="99"/>
        <v>0</v>
      </c>
      <c r="M37" s="16">
        <f t="shared" ref="M37:P37" si="100">M78</f>
        <v>0</v>
      </c>
      <c r="N37" s="16">
        <f t="shared" si="100"/>
        <v>0</v>
      </c>
      <c r="O37" s="16">
        <f t="shared" si="100"/>
        <v>0</v>
      </c>
      <c r="P37" s="16">
        <f t="shared" si="100"/>
        <v>0</v>
      </c>
      <c r="R37" s="16">
        <f t="shared" ref="R37" si="101">R78</f>
        <v>0</v>
      </c>
      <c r="T37" s="16">
        <f t="shared" ref="T37:W37" si="102">T78</f>
        <v>0</v>
      </c>
      <c r="U37" s="16">
        <f t="shared" si="102"/>
        <v>0</v>
      </c>
      <c r="V37" s="16">
        <f t="shared" si="102"/>
        <v>0</v>
      </c>
      <c r="W37" s="16">
        <f t="shared" si="102"/>
        <v>0</v>
      </c>
      <c r="Y37" s="16">
        <f t="shared" ref="Y37:AA37" si="103">Y78</f>
        <v>0</v>
      </c>
      <c r="Z37" s="16">
        <f t="shared" si="103"/>
        <v>0</v>
      </c>
      <c r="AA37" s="16">
        <f t="shared" si="103"/>
        <v>0</v>
      </c>
      <c r="AE37" s="7" t="str">
        <f t="shared" si="42"/>
        <v>Tuwovita</v>
      </c>
      <c r="AF37" s="7">
        <f t="shared" si="43"/>
        <v>0</v>
      </c>
      <c r="AG37" s="7">
        <f t="shared" si="44"/>
        <v>0</v>
      </c>
      <c r="AH37" s="7">
        <f t="shared" si="45"/>
        <v>0</v>
      </c>
      <c r="AI37" s="7">
        <f t="shared" si="46"/>
        <v>0</v>
      </c>
      <c r="AJ37" s="7">
        <f t="shared" si="47"/>
        <v>0</v>
      </c>
      <c r="AL37" s="7">
        <f t="shared" si="48"/>
        <v>0</v>
      </c>
      <c r="AM37" s="7">
        <f t="shared" si="49"/>
        <v>0</v>
      </c>
      <c r="AN37" s="7">
        <f t="shared" si="50"/>
        <v>0</v>
      </c>
      <c r="AO37" s="7">
        <f t="shared" si="51"/>
        <v>0</v>
      </c>
      <c r="AP37" s="7">
        <f t="shared" si="52"/>
        <v>0</v>
      </c>
      <c r="AR37" s="7">
        <f t="shared" si="53"/>
        <v>0</v>
      </c>
      <c r="AS37" s="7">
        <f t="shared" si="33"/>
        <v>0</v>
      </c>
      <c r="AT37" s="7">
        <f t="shared" si="34"/>
        <v>0</v>
      </c>
      <c r="AU37" s="7">
        <f t="shared" si="35"/>
        <v>0</v>
      </c>
      <c r="AV37" s="7">
        <f t="shared" si="36"/>
        <v>0</v>
      </c>
    </row>
    <row r="38" spans="1:66" ht="21" x14ac:dyDescent="0.35">
      <c r="A38" s="8"/>
      <c r="B38" s="33"/>
      <c r="C38" s="33"/>
      <c r="D38" s="33"/>
      <c r="E38" s="8"/>
      <c r="F38" s="47">
        <v>0</v>
      </c>
      <c r="G38" s="47">
        <f t="shared" ref="G38:J38" si="104">SUM(G93:G108)/G17</f>
        <v>0.99785909882997259</v>
      </c>
      <c r="H38" s="47">
        <f t="shared" si="104"/>
        <v>0.89703205819710674</v>
      </c>
      <c r="I38" s="47">
        <f t="shared" si="104"/>
        <v>0.94296210801065172</v>
      </c>
      <c r="J38" s="47">
        <f t="shared" si="104"/>
        <v>0.4763704871579737</v>
      </c>
      <c r="K38" s="47">
        <f>K91/K17</f>
        <v>0.88741045931376283</v>
      </c>
      <c r="L38" s="8"/>
      <c r="M38" s="47">
        <v>0</v>
      </c>
      <c r="N38" s="47">
        <f t="shared" ref="N38:O38" si="105">SUM(N93:N108)/N17</f>
        <v>0.98882092377238018</v>
      </c>
      <c r="O38" s="47">
        <f t="shared" si="105"/>
        <v>0.9513982242137583</v>
      </c>
      <c r="P38" s="48">
        <f>P91/P17</f>
        <v>0.97010957399306919</v>
      </c>
      <c r="Q38" s="8"/>
      <c r="R38" s="47">
        <f>R91/R17</f>
        <v>0.73334483306782461</v>
      </c>
      <c r="S38" s="8"/>
      <c r="T38" s="47">
        <f t="shared" ref="T38:V38" si="106">SUM(T93:T108)/T17</f>
        <v>0.99176744450122079</v>
      </c>
      <c r="U38" s="47">
        <f t="shared" si="106"/>
        <v>1.0246918432917411</v>
      </c>
      <c r="V38" s="47">
        <f t="shared" si="106"/>
        <v>1.0246918432917411</v>
      </c>
      <c r="W38" s="47">
        <f>W91/W17</f>
        <v>1.0115220837755328</v>
      </c>
      <c r="X38" s="8"/>
      <c r="Y38" s="47">
        <f t="shared" ref="Y38:Z38" si="107">SUM(Y93:Y108)/Y17</f>
        <v>0.9082829020523725</v>
      </c>
      <c r="Z38" s="47">
        <f t="shared" si="107"/>
        <v>0.99744558792177829</v>
      </c>
      <c r="AA38" s="47">
        <f>AA91/AA17</f>
        <v>0.82699846262599308</v>
      </c>
      <c r="AB38" s="8"/>
      <c r="AC38" s="8"/>
      <c r="AD38" s="54"/>
      <c r="AE38" s="54"/>
      <c r="AF38" s="8">
        <f>SUM(AF26:AF37)</f>
        <v>23201.5</v>
      </c>
      <c r="AG38" s="8">
        <f t="shared" ref="AG38:AJ38" si="108">SUM(AG26:AG37)</f>
        <v>24550.660000000003</v>
      </c>
      <c r="AH38" s="8">
        <f t="shared" si="108"/>
        <v>5252.5</v>
      </c>
      <c r="AI38" s="8">
        <f t="shared" si="108"/>
        <v>17370.54</v>
      </c>
      <c r="AJ38" s="8">
        <f t="shared" si="108"/>
        <v>18568.8</v>
      </c>
      <c r="AK38" s="8"/>
      <c r="AL38" s="8">
        <f t="shared" si="48"/>
        <v>29745.51282051282</v>
      </c>
      <c r="AM38" s="8"/>
      <c r="AN38" s="8"/>
      <c r="AO38" s="57"/>
      <c r="AP38" s="57">
        <f>AO38/4.33</f>
        <v>0</v>
      </c>
      <c r="AQ38" s="57"/>
      <c r="AR38" s="57">
        <f t="shared" si="53"/>
        <v>38135.272846811305</v>
      </c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</row>
    <row r="42" spans="1:66" x14ac:dyDescent="0.25">
      <c r="A42" s="23" t="s">
        <v>24</v>
      </c>
      <c r="B42" s="32" t="s">
        <v>25</v>
      </c>
      <c r="C42" s="35" t="s">
        <v>81</v>
      </c>
      <c r="D42" s="35" t="s">
        <v>82</v>
      </c>
    </row>
    <row r="43" spans="1:66" x14ac:dyDescent="0.25">
      <c r="A43" s="30">
        <v>100000023104</v>
      </c>
      <c r="B43" s="31" t="s">
        <v>26</v>
      </c>
      <c r="C43" s="36">
        <v>0</v>
      </c>
      <c r="D43" s="36">
        <f>K43+P43+R43+W43+AA43</f>
        <v>0</v>
      </c>
      <c r="K43" s="7">
        <f>SUM(F43:J43)</f>
        <v>0</v>
      </c>
      <c r="P43" s="7">
        <f>SUM(M43:O43)</f>
        <v>0</v>
      </c>
      <c r="W43" s="7">
        <f>SUM(T43:V43)</f>
        <v>0</v>
      </c>
      <c r="AA43" s="7">
        <f>SUM(Y43:Z43)</f>
        <v>0</v>
      </c>
    </row>
    <row r="44" spans="1:66" x14ac:dyDescent="0.25">
      <c r="A44" s="24">
        <v>100000020597</v>
      </c>
      <c r="B44" s="25" t="s">
        <v>27</v>
      </c>
      <c r="C44" s="43">
        <v>180</v>
      </c>
      <c r="D44" s="36">
        <f t="shared" ref="D44:D107" si="109">K44+P44+R44+W44+AA44</f>
        <v>180</v>
      </c>
      <c r="K44" s="7">
        <f>C44</f>
        <v>180</v>
      </c>
      <c r="P44" s="7">
        <f t="shared" ref="P44:P90" si="110">SUM(M44:O44)</f>
        <v>0</v>
      </c>
      <c r="W44" s="7">
        <f t="shared" ref="W44:W90" si="111">SUM(T44:V44)</f>
        <v>0</v>
      </c>
      <c r="AA44" s="7">
        <f t="shared" ref="AA44:AA90" si="112">SUM(Y44:Z44)</f>
        <v>0</v>
      </c>
    </row>
    <row r="45" spans="1:66" x14ac:dyDescent="0.25">
      <c r="A45" s="24">
        <v>100000020598</v>
      </c>
      <c r="B45" s="25" t="s">
        <v>28</v>
      </c>
      <c r="C45" s="36">
        <v>0</v>
      </c>
      <c r="D45" s="36">
        <f t="shared" si="109"/>
        <v>0</v>
      </c>
      <c r="K45" s="7">
        <f t="shared" ref="K45:K90" si="113">SUM(F45:J45)</f>
        <v>0</v>
      </c>
      <c r="P45" s="7">
        <f t="shared" si="110"/>
        <v>0</v>
      </c>
      <c r="W45" s="7">
        <f t="shared" si="111"/>
        <v>0</v>
      </c>
      <c r="AA45" s="7">
        <f t="shared" si="112"/>
        <v>0</v>
      </c>
    </row>
    <row r="46" spans="1:66" x14ac:dyDescent="0.25">
      <c r="A46" s="26">
        <v>100000019578</v>
      </c>
      <c r="B46" s="27" t="s">
        <v>29</v>
      </c>
      <c r="C46" s="43">
        <v>250</v>
      </c>
      <c r="D46" s="36">
        <f t="shared" si="109"/>
        <v>250</v>
      </c>
      <c r="K46" s="7">
        <f t="shared" si="113"/>
        <v>0</v>
      </c>
      <c r="P46" s="7">
        <f t="shared" si="110"/>
        <v>0</v>
      </c>
      <c r="R46" s="7">
        <f>C46*0.4</f>
        <v>100</v>
      </c>
      <c r="W46" s="7">
        <f t="shared" si="111"/>
        <v>0</v>
      </c>
      <c r="AA46" s="7">
        <f>C46*0.6</f>
        <v>150</v>
      </c>
    </row>
    <row r="47" spans="1:66" x14ac:dyDescent="0.25">
      <c r="A47" s="26">
        <v>100000014618</v>
      </c>
      <c r="B47" s="55" t="s">
        <v>30</v>
      </c>
      <c r="C47" s="43"/>
      <c r="D47" s="36">
        <f t="shared" si="109"/>
        <v>0</v>
      </c>
      <c r="K47" s="7">
        <f>C47</f>
        <v>0</v>
      </c>
      <c r="P47" s="7">
        <f t="shared" si="110"/>
        <v>0</v>
      </c>
      <c r="W47" s="7">
        <f t="shared" si="111"/>
        <v>0</v>
      </c>
      <c r="AA47" s="7">
        <f t="shared" si="112"/>
        <v>0</v>
      </c>
    </row>
    <row r="48" spans="1:66" x14ac:dyDescent="0.25">
      <c r="A48" s="26"/>
      <c r="B48" s="29" t="s">
        <v>85</v>
      </c>
      <c r="C48" s="36">
        <v>150</v>
      </c>
      <c r="D48" s="36">
        <f t="shared" si="109"/>
        <v>150</v>
      </c>
      <c r="K48" s="7">
        <f t="shared" si="113"/>
        <v>0</v>
      </c>
      <c r="R48" s="7">
        <v>0</v>
      </c>
      <c r="AA48" s="7">
        <f>C48</f>
        <v>150</v>
      </c>
    </row>
    <row r="49" spans="1:27" x14ac:dyDescent="0.25">
      <c r="A49" s="26"/>
      <c r="B49" s="51" t="s">
        <v>100</v>
      </c>
      <c r="C49" s="36">
        <v>500</v>
      </c>
      <c r="D49" s="36">
        <f t="shared" si="109"/>
        <v>500</v>
      </c>
      <c r="K49" s="7">
        <f t="shared" si="113"/>
        <v>0</v>
      </c>
      <c r="P49" s="7">
        <f t="shared" si="110"/>
        <v>0</v>
      </c>
      <c r="W49" s="7">
        <v>500</v>
      </c>
    </row>
    <row r="50" spans="1:27" x14ac:dyDescent="0.25">
      <c r="A50" s="26">
        <v>100000017902</v>
      </c>
      <c r="B50" s="51" t="s">
        <v>97</v>
      </c>
      <c r="C50" s="43">
        <f>595+1000</f>
        <v>1595</v>
      </c>
      <c r="D50" s="36">
        <f t="shared" si="109"/>
        <v>1595</v>
      </c>
      <c r="K50" s="7">
        <f t="shared" si="113"/>
        <v>0</v>
      </c>
      <c r="P50" s="7">
        <f t="shared" si="110"/>
        <v>0</v>
      </c>
      <c r="W50" s="7">
        <f t="shared" si="111"/>
        <v>0</v>
      </c>
      <c r="AA50" s="7">
        <f>C50</f>
        <v>1595</v>
      </c>
    </row>
    <row r="51" spans="1:27" x14ac:dyDescent="0.25">
      <c r="A51" s="26">
        <v>100000029991</v>
      </c>
      <c r="B51" s="51" t="s">
        <v>98</v>
      </c>
      <c r="C51" s="36">
        <v>150</v>
      </c>
      <c r="D51" s="36">
        <f t="shared" si="109"/>
        <v>150</v>
      </c>
      <c r="K51" s="7">
        <f t="shared" si="113"/>
        <v>0</v>
      </c>
      <c r="P51" s="7">
        <f t="shared" si="110"/>
        <v>0</v>
      </c>
      <c r="R51" s="7">
        <v>0</v>
      </c>
      <c r="W51" s="7">
        <f t="shared" si="111"/>
        <v>0</v>
      </c>
      <c r="AA51" s="7">
        <f>C51</f>
        <v>150</v>
      </c>
    </row>
    <row r="52" spans="1:27" x14ac:dyDescent="0.25">
      <c r="A52" s="26">
        <v>100000006034</v>
      </c>
      <c r="B52" s="51" t="s">
        <v>99</v>
      </c>
      <c r="C52" s="36">
        <v>18314</v>
      </c>
      <c r="D52" s="36">
        <f t="shared" si="109"/>
        <v>18314.000000000004</v>
      </c>
      <c r="K52" s="7">
        <f>C52*0.4</f>
        <v>7325.6</v>
      </c>
      <c r="P52" s="7">
        <f>C52*0.54</f>
        <v>9889.5600000000013</v>
      </c>
      <c r="W52" s="7">
        <f>C52*0.06</f>
        <v>1098.8399999999999</v>
      </c>
      <c r="AA52" s="7">
        <f t="shared" si="112"/>
        <v>0</v>
      </c>
    </row>
    <row r="53" spans="1:27" x14ac:dyDescent="0.25">
      <c r="A53" s="26">
        <v>100000029187</v>
      </c>
      <c r="B53" s="27" t="s">
        <v>31</v>
      </c>
      <c r="C53" s="44">
        <v>6000</v>
      </c>
      <c r="D53" s="36">
        <f t="shared" si="109"/>
        <v>6000</v>
      </c>
      <c r="F53" s="37"/>
      <c r="G53" s="37"/>
      <c r="H53" s="37"/>
      <c r="I53" s="37"/>
      <c r="J53" s="37"/>
      <c r="K53" s="7">
        <f>C53</f>
        <v>6000</v>
      </c>
      <c r="W53" s="7">
        <v>0</v>
      </c>
      <c r="AA53" s="7">
        <v>0</v>
      </c>
    </row>
    <row r="54" spans="1:27" x14ac:dyDescent="0.25">
      <c r="A54" s="26">
        <v>100000006028</v>
      </c>
      <c r="B54" s="27" t="s">
        <v>32</v>
      </c>
      <c r="C54" s="45">
        <v>13</v>
      </c>
      <c r="D54" s="36">
        <f t="shared" si="109"/>
        <v>13</v>
      </c>
      <c r="F54" s="37"/>
      <c r="G54" s="37"/>
      <c r="H54" s="37"/>
      <c r="I54" s="37"/>
      <c r="J54" s="37"/>
      <c r="K54" s="7">
        <f>C54</f>
        <v>13</v>
      </c>
      <c r="P54" s="7">
        <f t="shared" si="110"/>
        <v>0</v>
      </c>
      <c r="W54" s="7">
        <f t="shared" si="111"/>
        <v>0</v>
      </c>
      <c r="AA54" s="7">
        <f t="shared" si="112"/>
        <v>0</v>
      </c>
    </row>
    <row r="55" spans="1:27" x14ac:dyDescent="0.25">
      <c r="A55" s="26">
        <v>100000006029</v>
      </c>
      <c r="B55" s="27" t="s">
        <v>33</v>
      </c>
      <c r="C55" s="45">
        <v>10</v>
      </c>
      <c r="D55" s="36">
        <f t="shared" si="109"/>
        <v>10</v>
      </c>
      <c r="F55" s="38"/>
      <c r="G55" s="38"/>
      <c r="H55" s="38"/>
      <c r="I55" s="38"/>
      <c r="J55" s="38"/>
      <c r="K55" s="7">
        <f t="shared" ref="K55:K57" si="114">C55</f>
        <v>10</v>
      </c>
      <c r="P55" s="7">
        <f t="shared" si="110"/>
        <v>0</v>
      </c>
      <c r="W55" s="7">
        <f t="shared" si="111"/>
        <v>0</v>
      </c>
      <c r="AA55" s="7">
        <f t="shared" si="112"/>
        <v>0</v>
      </c>
    </row>
    <row r="56" spans="1:27" x14ac:dyDescent="0.25">
      <c r="A56" s="26">
        <v>100000006030</v>
      </c>
      <c r="B56" s="27" t="s">
        <v>34</v>
      </c>
      <c r="C56" s="45">
        <v>56</v>
      </c>
      <c r="D56" s="36">
        <f t="shared" si="109"/>
        <v>56</v>
      </c>
      <c r="F56" s="38"/>
      <c r="G56" s="38"/>
      <c r="H56" s="38"/>
      <c r="I56" s="38"/>
      <c r="J56" s="38"/>
      <c r="K56" s="7">
        <f t="shared" si="114"/>
        <v>56</v>
      </c>
      <c r="P56" s="7">
        <f t="shared" si="110"/>
        <v>0</v>
      </c>
      <c r="W56" s="7">
        <f t="shared" si="111"/>
        <v>0</v>
      </c>
      <c r="AA56" s="7">
        <f t="shared" si="112"/>
        <v>0</v>
      </c>
    </row>
    <row r="57" spans="1:27" x14ac:dyDescent="0.25">
      <c r="A57" s="26">
        <v>100000006031</v>
      </c>
      <c r="B57" s="27" t="s">
        <v>35</v>
      </c>
      <c r="C57" s="45">
        <v>178</v>
      </c>
      <c r="D57" s="36">
        <f t="shared" si="109"/>
        <v>178</v>
      </c>
      <c r="F57" s="38"/>
      <c r="G57" s="38"/>
      <c r="H57" s="38"/>
      <c r="I57" s="38"/>
      <c r="J57" s="38"/>
      <c r="K57" s="7">
        <f t="shared" si="114"/>
        <v>178</v>
      </c>
      <c r="P57" s="7">
        <f t="shared" si="110"/>
        <v>0</v>
      </c>
      <c r="W57" s="7">
        <f t="shared" si="111"/>
        <v>0</v>
      </c>
      <c r="AA57" s="7">
        <f t="shared" si="112"/>
        <v>0</v>
      </c>
    </row>
    <row r="58" spans="1:27" x14ac:dyDescent="0.25">
      <c r="A58" s="26">
        <v>100000011888</v>
      </c>
      <c r="B58" s="27" t="s">
        <v>36</v>
      </c>
      <c r="C58" s="43">
        <v>0</v>
      </c>
      <c r="D58" s="36">
        <f t="shared" si="109"/>
        <v>0</v>
      </c>
      <c r="F58" s="38"/>
      <c r="G58" s="38"/>
      <c r="H58" s="38"/>
      <c r="I58" s="38"/>
      <c r="J58" s="38"/>
      <c r="K58" s="7">
        <f t="shared" si="113"/>
        <v>0</v>
      </c>
      <c r="P58" s="7">
        <f t="shared" si="110"/>
        <v>0</v>
      </c>
      <c r="W58" s="7">
        <f t="shared" si="111"/>
        <v>0</v>
      </c>
      <c r="AA58" s="7">
        <f t="shared" si="112"/>
        <v>0</v>
      </c>
    </row>
    <row r="59" spans="1:27" x14ac:dyDescent="0.25">
      <c r="A59" s="26">
        <v>100000011889</v>
      </c>
      <c r="B59" s="27" t="s">
        <v>37</v>
      </c>
      <c r="C59" s="43">
        <v>0</v>
      </c>
      <c r="D59" s="36">
        <f t="shared" si="109"/>
        <v>0</v>
      </c>
      <c r="F59" s="38"/>
      <c r="G59" s="38"/>
      <c r="H59" s="38"/>
      <c r="I59" s="38"/>
      <c r="J59" s="38"/>
      <c r="K59" s="7">
        <f t="shared" si="113"/>
        <v>0</v>
      </c>
      <c r="P59" s="7">
        <f t="shared" si="110"/>
        <v>0</v>
      </c>
      <c r="W59" s="7">
        <f t="shared" si="111"/>
        <v>0</v>
      </c>
      <c r="AA59" s="7">
        <f t="shared" si="112"/>
        <v>0</v>
      </c>
    </row>
    <row r="60" spans="1:27" x14ac:dyDescent="0.25">
      <c r="A60" s="26">
        <v>100000012011</v>
      </c>
      <c r="B60" s="27" t="s">
        <v>38</v>
      </c>
      <c r="C60" s="43">
        <v>0</v>
      </c>
      <c r="D60" s="36">
        <f t="shared" si="109"/>
        <v>0</v>
      </c>
      <c r="F60" s="38"/>
      <c r="G60" s="38"/>
      <c r="H60" s="38"/>
      <c r="I60" s="38"/>
      <c r="J60" s="38"/>
      <c r="K60" s="7">
        <f t="shared" si="113"/>
        <v>0</v>
      </c>
      <c r="P60" s="7">
        <f t="shared" si="110"/>
        <v>0</v>
      </c>
      <c r="W60" s="7">
        <f t="shared" si="111"/>
        <v>0</v>
      </c>
      <c r="AA60" s="7">
        <f t="shared" si="112"/>
        <v>0</v>
      </c>
    </row>
    <row r="61" spans="1:27" x14ac:dyDescent="0.25">
      <c r="A61" s="26">
        <v>100000012012</v>
      </c>
      <c r="B61" s="27" t="s">
        <v>39</v>
      </c>
      <c r="C61" s="43">
        <v>0</v>
      </c>
      <c r="D61" s="36">
        <f t="shared" si="109"/>
        <v>0</v>
      </c>
      <c r="F61" s="38"/>
      <c r="G61" s="38"/>
      <c r="H61" s="38"/>
      <c r="I61" s="38"/>
      <c r="J61" s="38"/>
      <c r="K61" s="7">
        <f t="shared" si="113"/>
        <v>0</v>
      </c>
      <c r="P61" s="7">
        <f t="shared" si="110"/>
        <v>0</v>
      </c>
      <c r="W61" s="7">
        <f t="shared" si="111"/>
        <v>0</v>
      </c>
      <c r="AA61" s="7">
        <f t="shared" si="112"/>
        <v>0</v>
      </c>
    </row>
    <row r="62" spans="1:27" x14ac:dyDescent="0.25">
      <c r="A62" s="26">
        <v>100000005259</v>
      </c>
      <c r="B62" s="27" t="s">
        <v>40</v>
      </c>
      <c r="C62" s="45">
        <v>7000</v>
      </c>
      <c r="D62" s="36">
        <f t="shared" si="109"/>
        <v>7000</v>
      </c>
      <c r="F62" s="38"/>
      <c r="G62" s="38"/>
      <c r="H62" s="38"/>
      <c r="I62" s="38"/>
      <c r="J62" s="38"/>
      <c r="K62" s="7">
        <f t="shared" si="113"/>
        <v>0</v>
      </c>
      <c r="P62" s="7">
        <f t="shared" si="110"/>
        <v>0</v>
      </c>
      <c r="W62" s="7">
        <f>C62*0.85</f>
        <v>5950</v>
      </c>
      <c r="AA62" s="7">
        <f>C62*0.15</f>
        <v>1050</v>
      </c>
    </row>
    <row r="63" spans="1:27" x14ac:dyDescent="0.25">
      <c r="A63" s="26">
        <v>100000002986</v>
      </c>
      <c r="B63" s="27" t="s">
        <v>41</v>
      </c>
      <c r="C63" s="45">
        <v>20126</v>
      </c>
      <c r="D63" s="36">
        <f t="shared" si="109"/>
        <v>20126</v>
      </c>
      <c r="K63" s="7">
        <f>C63*0.15</f>
        <v>3018.9</v>
      </c>
      <c r="P63" s="7">
        <f>C63*0.05</f>
        <v>1006.3000000000001</v>
      </c>
      <c r="W63" s="7">
        <f>C63*0.45</f>
        <v>9056.7000000000007</v>
      </c>
      <c r="AA63" s="7">
        <f>C63*0.35</f>
        <v>7044.0999999999995</v>
      </c>
    </row>
    <row r="64" spans="1:27" x14ac:dyDescent="0.25">
      <c r="A64" s="26">
        <v>100000027806</v>
      </c>
      <c r="B64" s="55" t="s">
        <v>42</v>
      </c>
      <c r="C64" s="45"/>
      <c r="D64" s="36">
        <f t="shared" si="109"/>
        <v>0</v>
      </c>
      <c r="K64" s="7">
        <f t="shared" si="113"/>
        <v>0</v>
      </c>
      <c r="P64" s="7">
        <f t="shared" si="110"/>
        <v>0</v>
      </c>
      <c r="W64" s="7">
        <f t="shared" si="111"/>
        <v>0</v>
      </c>
      <c r="AA64" s="7">
        <f t="shared" si="112"/>
        <v>0</v>
      </c>
    </row>
    <row r="65" spans="1:27" x14ac:dyDescent="0.25">
      <c r="A65" s="26">
        <v>100000017891</v>
      </c>
      <c r="B65" s="51" t="s">
        <v>101</v>
      </c>
      <c r="C65" s="45">
        <v>13172</v>
      </c>
      <c r="D65" s="36">
        <f t="shared" si="109"/>
        <v>13172.000000000002</v>
      </c>
      <c r="P65" s="7">
        <f>C65*0.9</f>
        <v>11854.800000000001</v>
      </c>
      <c r="W65" s="7">
        <v>0</v>
      </c>
      <c r="AA65" s="7">
        <f>C65*0.1</f>
        <v>1317.2</v>
      </c>
    </row>
    <row r="66" spans="1:27" x14ac:dyDescent="0.25">
      <c r="A66" s="26">
        <v>100000018687</v>
      </c>
      <c r="B66" s="51" t="s">
        <v>102</v>
      </c>
      <c r="C66" s="43">
        <f>10120-250-20-400+2000</f>
        <v>11450</v>
      </c>
      <c r="D66" s="36">
        <f t="shared" si="109"/>
        <v>11450</v>
      </c>
      <c r="K66" s="7">
        <f t="shared" si="113"/>
        <v>0</v>
      </c>
      <c r="P66" s="7">
        <f t="shared" si="110"/>
        <v>0</v>
      </c>
      <c r="R66" s="7">
        <f>0.45*C66</f>
        <v>5152.5</v>
      </c>
      <c r="W66" s="7">
        <f t="shared" si="111"/>
        <v>0</v>
      </c>
      <c r="AA66" s="7">
        <f>C66*0.55</f>
        <v>6297.5000000000009</v>
      </c>
    </row>
    <row r="67" spans="1:27" x14ac:dyDescent="0.25">
      <c r="A67" s="26">
        <v>100000006037</v>
      </c>
      <c r="B67" s="27" t="s">
        <v>43</v>
      </c>
      <c r="C67" s="43">
        <f>3750-180</f>
        <v>3570</v>
      </c>
      <c r="D67" s="36">
        <f t="shared" si="109"/>
        <v>3570</v>
      </c>
      <c r="K67" s="7">
        <f>C67</f>
        <v>3570</v>
      </c>
      <c r="P67" s="7">
        <f t="shared" si="110"/>
        <v>0</v>
      </c>
      <c r="W67" s="7">
        <f t="shared" si="111"/>
        <v>0</v>
      </c>
      <c r="AA67" s="7">
        <f t="shared" si="112"/>
        <v>0</v>
      </c>
    </row>
    <row r="68" spans="1:27" x14ac:dyDescent="0.25">
      <c r="A68" s="26">
        <v>100000004485</v>
      </c>
      <c r="B68" s="55" t="s">
        <v>44</v>
      </c>
      <c r="C68" s="43">
        <v>0</v>
      </c>
      <c r="D68" s="36">
        <f t="shared" si="109"/>
        <v>0</v>
      </c>
      <c r="K68" s="7">
        <f>C68</f>
        <v>0</v>
      </c>
      <c r="P68" s="7">
        <f t="shared" si="110"/>
        <v>0</v>
      </c>
      <c r="W68" s="7">
        <f t="shared" si="111"/>
        <v>0</v>
      </c>
      <c r="AA68" s="7">
        <f t="shared" si="112"/>
        <v>0</v>
      </c>
    </row>
    <row r="69" spans="1:27" x14ac:dyDescent="0.25">
      <c r="A69" s="26">
        <v>100000002985</v>
      </c>
      <c r="B69" s="52" t="s">
        <v>45</v>
      </c>
      <c r="C69" s="43">
        <v>300</v>
      </c>
      <c r="D69" s="36">
        <f t="shared" si="109"/>
        <v>300</v>
      </c>
      <c r="K69" s="7">
        <f t="shared" ref="K69:K70" si="115">C69</f>
        <v>300</v>
      </c>
      <c r="P69" s="7">
        <f t="shared" si="110"/>
        <v>0</v>
      </c>
      <c r="W69" s="7">
        <f t="shared" si="111"/>
        <v>0</v>
      </c>
      <c r="AA69" s="7">
        <f t="shared" si="112"/>
        <v>0</v>
      </c>
    </row>
    <row r="70" spans="1:27" x14ac:dyDescent="0.25">
      <c r="A70" s="26">
        <v>100000002988</v>
      </c>
      <c r="B70" s="25" t="s">
        <v>46</v>
      </c>
      <c r="C70" s="43">
        <f>205+205+72</f>
        <v>482</v>
      </c>
      <c r="D70" s="36">
        <f t="shared" si="109"/>
        <v>482</v>
      </c>
      <c r="K70" s="7">
        <f t="shared" si="115"/>
        <v>482</v>
      </c>
      <c r="P70" s="7">
        <f t="shared" si="110"/>
        <v>0</v>
      </c>
      <c r="W70" s="7">
        <f t="shared" si="111"/>
        <v>0</v>
      </c>
      <c r="AA70" s="7">
        <f t="shared" si="112"/>
        <v>0</v>
      </c>
    </row>
    <row r="71" spans="1:27" x14ac:dyDescent="0.25">
      <c r="A71" s="26">
        <v>100000002974</v>
      </c>
      <c r="B71" s="27" t="s">
        <v>47</v>
      </c>
      <c r="C71" s="45">
        <v>2000</v>
      </c>
      <c r="D71" s="36">
        <f t="shared" si="109"/>
        <v>2000</v>
      </c>
      <c r="K71" s="7">
        <f t="shared" si="113"/>
        <v>0</v>
      </c>
      <c r="P71" s="7">
        <f>C71*0.9</f>
        <v>1800</v>
      </c>
      <c r="W71" s="7">
        <f t="shared" si="111"/>
        <v>0</v>
      </c>
      <c r="AA71" s="7">
        <f>C71*0.1</f>
        <v>200</v>
      </c>
    </row>
    <row r="72" spans="1:27" x14ac:dyDescent="0.25">
      <c r="A72" s="26">
        <v>100000002976</v>
      </c>
      <c r="B72" s="27" t="s">
        <v>48</v>
      </c>
      <c r="C72" s="45">
        <f>1745+300</f>
        <v>2045</v>
      </c>
      <c r="D72" s="36">
        <f t="shared" si="109"/>
        <v>2045</v>
      </c>
      <c r="K72" s="7">
        <f>C72*0.5</f>
        <v>1022.5</v>
      </c>
      <c r="P72" s="7">
        <f t="shared" si="110"/>
        <v>0</v>
      </c>
      <c r="W72" s="7">
        <f>C72*0.3</f>
        <v>613.5</v>
      </c>
      <c r="AA72" s="7">
        <f>C72*0.2</f>
        <v>409</v>
      </c>
    </row>
    <row r="73" spans="1:27" x14ac:dyDescent="0.25">
      <c r="A73" s="26">
        <v>100000002977</v>
      </c>
      <c r="B73" s="27" t="s">
        <v>49</v>
      </c>
      <c r="C73" s="45">
        <v>302</v>
      </c>
      <c r="D73" s="36">
        <f t="shared" si="109"/>
        <v>302</v>
      </c>
      <c r="K73" s="7">
        <f t="shared" ref="K73:K75" si="116">C73*0.5</f>
        <v>151</v>
      </c>
      <c r="P73" s="7">
        <f t="shared" si="110"/>
        <v>0</v>
      </c>
      <c r="W73" s="7">
        <f t="shared" ref="W73:W75" si="117">C73*0.3</f>
        <v>90.6</v>
      </c>
      <c r="AA73" s="7">
        <f t="shared" ref="AA73:AA75" si="118">C73*0.2</f>
        <v>60.400000000000006</v>
      </c>
    </row>
    <row r="74" spans="1:27" x14ac:dyDescent="0.25">
      <c r="A74" s="26">
        <v>100000002978</v>
      </c>
      <c r="B74" s="27" t="s">
        <v>50</v>
      </c>
      <c r="C74" s="45">
        <v>107</v>
      </c>
      <c r="D74" s="36">
        <f t="shared" si="109"/>
        <v>107</v>
      </c>
      <c r="K74" s="7">
        <f t="shared" si="116"/>
        <v>53.5</v>
      </c>
      <c r="P74" s="7">
        <f t="shared" si="110"/>
        <v>0</v>
      </c>
      <c r="W74" s="7">
        <f t="shared" si="117"/>
        <v>32.1</v>
      </c>
      <c r="AA74" s="7">
        <f t="shared" si="118"/>
        <v>21.400000000000002</v>
      </c>
    </row>
    <row r="75" spans="1:27" x14ac:dyDescent="0.25">
      <c r="A75" s="26">
        <v>100000015941</v>
      </c>
      <c r="B75" s="27" t="s">
        <v>51</v>
      </c>
      <c r="C75" s="45">
        <v>96</v>
      </c>
      <c r="D75" s="36">
        <f t="shared" si="109"/>
        <v>96</v>
      </c>
      <c r="K75" s="7">
        <f t="shared" si="116"/>
        <v>48</v>
      </c>
      <c r="P75" s="7">
        <f t="shared" si="110"/>
        <v>0</v>
      </c>
      <c r="W75" s="7">
        <f t="shared" si="117"/>
        <v>28.799999999999997</v>
      </c>
      <c r="AA75" s="7">
        <f t="shared" si="118"/>
        <v>19.200000000000003</v>
      </c>
    </row>
    <row r="76" spans="1:27" x14ac:dyDescent="0.25">
      <c r="A76" s="26">
        <v>100000017899</v>
      </c>
      <c r="B76" s="27" t="s">
        <v>52</v>
      </c>
      <c r="C76" s="43">
        <v>20</v>
      </c>
      <c r="D76" s="36">
        <f t="shared" si="109"/>
        <v>20</v>
      </c>
      <c r="K76" s="7">
        <f t="shared" si="113"/>
        <v>0</v>
      </c>
      <c r="P76" s="7">
        <f t="shared" si="110"/>
        <v>0</v>
      </c>
      <c r="R76" s="7">
        <f>C76*0.4</f>
        <v>8</v>
      </c>
      <c r="W76" s="7">
        <f t="shared" si="111"/>
        <v>0</v>
      </c>
      <c r="AA76" s="7">
        <f>C76*0.6</f>
        <v>12</v>
      </c>
    </row>
    <row r="77" spans="1:27" x14ac:dyDescent="0.25">
      <c r="A77" s="26">
        <v>100000017897</v>
      </c>
      <c r="B77" s="27" t="s">
        <v>53</v>
      </c>
      <c r="C77" s="43">
        <v>400</v>
      </c>
      <c r="D77" s="36">
        <f t="shared" si="109"/>
        <v>400</v>
      </c>
      <c r="K77" s="7">
        <f t="shared" si="113"/>
        <v>0</v>
      </c>
      <c r="P77" s="7">
        <f t="shared" si="110"/>
        <v>0</v>
      </c>
      <c r="R77" s="7">
        <f>C77*0.4</f>
        <v>160</v>
      </c>
      <c r="W77" s="7">
        <f t="shared" si="111"/>
        <v>0</v>
      </c>
      <c r="AA77" s="7">
        <f>C77*0.6</f>
        <v>240</v>
      </c>
    </row>
    <row r="78" spans="1:27" x14ac:dyDescent="0.25">
      <c r="A78" s="26"/>
      <c r="B78" s="27" t="s">
        <v>94</v>
      </c>
      <c r="C78" s="36"/>
      <c r="D78" s="36"/>
    </row>
    <row r="79" spans="1:27" x14ac:dyDescent="0.25">
      <c r="A79" s="26">
        <v>100000002979</v>
      </c>
      <c r="B79" s="27" t="s">
        <v>54</v>
      </c>
      <c r="C79" s="53"/>
      <c r="D79" s="36">
        <f t="shared" si="109"/>
        <v>0</v>
      </c>
      <c r="K79" s="7">
        <f t="shared" si="113"/>
        <v>0</v>
      </c>
      <c r="P79" s="7">
        <f t="shared" si="110"/>
        <v>0</v>
      </c>
      <c r="W79" s="7">
        <f t="shared" si="111"/>
        <v>0</v>
      </c>
      <c r="AA79" s="7">
        <f t="shared" si="112"/>
        <v>0</v>
      </c>
    </row>
    <row r="80" spans="1:27" x14ac:dyDescent="0.25">
      <c r="A80" s="26">
        <v>100000011634</v>
      </c>
      <c r="B80" s="27" t="s">
        <v>55</v>
      </c>
      <c r="C80" s="43">
        <v>700</v>
      </c>
      <c r="D80" s="36">
        <f t="shared" si="109"/>
        <v>700</v>
      </c>
      <c r="K80" s="7">
        <v>700</v>
      </c>
      <c r="P80" s="7">
        <f t="shared" si="110"/>
        <v>0</v>
      </c>
      <c r="W80" s="7">
        <f t="shared" si="111"/>
        <v>0</v>
      </c>
      <c r="AA80" s="7">
        <f t="shared" si="112"/>
        <v>0</v>
      </c>
    </row>
    <row r="81" spans="1:29" x14ac:dyDescent="0.25">
      <c r="A81" s="26">
        <v>100000021592</v>
      </c>
      <c r="B81" s="27" t="s">
        <v>56</v>
      </c>
      <c r="C81" s="45">
        <v>105</v>
      </c>
      <c r="D81" s="36">
        <f t="shared" si="109"/>
        <v>105</v>
      </c>
      <c r="K81" s="7">
        <f t="shared" si="113"/>
        <v>0</v>
      </c>
      <c r="P81" s="7">
        <f t="shared" si="110"/>
        <v>0</v>
      </c>
      <c r="W81" s="7">
        <f t="shared" si="111"/>
        <v>0</v>
      </c>
      <c r="AA81" s="7">
        <f>C81</f>
        <v>105</v>
      </c>
    </row>
    <row r="82" spans="1:29" x14ac:dyDescent="0.25">
      <c r="A82" s="26">
        <v>100000023573</v>
      </c>
      <c r="B82" s="27" t="s">
        <v>57</v>
      </c>
      <c r="C82" s="43">
        <v>0</v>
      </c>
      <c r="D82" s="36">
        <f t="shared" si="109"/>
        <v>0</v>
      </c>
      <c r="K82" s="7">
        <f t="shared" si="113"/>
        <v>0</v>
      </c>
      <c r="P82" s="7">
        <f t="shared" si="110"/>
        <v>0</v>
      </c>
      <c r="W82" s="7">
        <f t="shared" si="111"/>
        <v>0</v>
      </c>
      <c r="AA82" s="7">
        <f t="shared" si="112"/>
        <v>0</v>
      </c>
    </row>
    <row r="83" spans="1:29" x14ac:dyDescent="0.25">
      <c r="A83" s="26">
        <v>100000023571</v>
      </c>
      <c r="B83" s="27" t="s">
        <v>58</v>
      </c>
      <c r="C83" s="43">
        <v>0</v>
      </c>
      <c r="D83" s="36">
        <f t="shared" si="109"/>
        <v>0</v>
      </c>
      <c r="K83" s="7">
        <f t="shared" si="113"/>
        <v>0</v>
      </c>
      <c r="P83" s="7">
        <f t="shared" si="110"/>
        <v>0</v>
      </c>
      <c r="W83" s="7">
        <f t="shared" si="111"/>
        <v>0</v>
      </c>
      <c r="AA83" s="7">
        <f t="shared" si="112"/>
        <v>0</v>
      </c>
    </row>
    <row r="84" spans="1:29" x14ac:dyDescent="0.25">
      <c r="A84" s="26">
        <v>100000023572</v>
      </c>
      <c r="B84" s="27" t="s">
        <v>59</v>
      </c>
      <c r="C84" s="43">
        <v>0</v>
      </c>
      <c r="D84" s="36">
        <f t="shared" si="109"/>
        <v>0</v>
      </c>
      <c r="K84" s="7">
        <f t="shared" si="113"/>
        <v>0</v>
      </c>
      <c r="P84" s="7">
        <f t="shared" si="110"/>
        <v>0</v>
      </c>
      <c r="W84" s="7">
        <f t="shared" si="111"/>
        <v>0</v>
      </c>
      <c r="AA84" s="7">
        <f t="shared" si="112"/>
        <v>0</v>
      </c>
    </row>
    <row r="85" spans="1:29" x14ac:dyDescent="0.25">
      <c r="A85" s="26">
        <v>100000023574</v>
      </c>
      <c r="B85" s="27" t="s">
        <v>60</v>
      </c>
      <c r="C85" s="43">
        <v>0</v>
      </c>
      <c r="D85" s="36">
        <f t="shared" si="109"/>
        <v>0</v>
      </c>
      <c r="K85" s="7">
        <f t="shared" si="113"/>
        <v>0</v>
      </c>
      <c r="P85" s="7">
        <f t="shared" si="110"/>
        <v>0</v>
      </c>
      <c r="W85" s="7">
        <f t="shared" si="111"/>
        <v>0</v>
      </c>
      <c r="AA85" s="7">
        <f t="shared" si="112"/>
        <v>0</v>
      </c>
    </row>
    <row r="86" spans="1:29" x14ac:dyDescent="0.25">
      <c r="A86" s="26">
        <v>100000017904</v>
      </c>
      <c r="B86" s="27" t="s">
        <v>61</v>
      </c>
      <c r="C86" s="45"/>
      <c r="D86" s="36">
        <f t="shared" si="109"/>
        <v>0</v>
      </c>
      <c r="K86" s="7">
        <f t="shared" si="113"/>
        <v>0</v>
      </c>
      <c r="P86" s="7">
        <f t="shared" si="110"/>
        <v>0</v>
      </c>
      <c r="W86" s="7">
        <f t="shared" si="111"/>
        <v>0</v>
      </c>
      <c r="AA86" s="7">
        <f t="shared" si="112"/>
        <v>0</v>
      </c>
    </row>
    <row r="87" spans="1:29" x14ac:dyDescent="0.25">
      <c r="A87" s="26">
        <v>100000025748</v>
      </c>
      <c r="B87" s="27" t="s">
        <v>62</v>
      </c>
      <c r="C87" s="45">
        <v>460</v>
      </c>
      <c r="D87" s="36">
        <f t="shared" si="109"/>
        <v>460</v>
      </c>
      <c r="K87" s="7">
        <f>C87</f>
        <v>460</v>
      </c>
      <c r="P87" s="7">
        <f t="shared" si="110"/>
        <v>0</v>
      </c>
      <c r="W87" s="7">
        <f t="shared" si="111"/>
        <v>0</v>
      </c>
      <c r="AA87" s="7">
        <f t="shared" si="112"/>
        <v>0</v>
      </c>
    </row>
    <row r="88" spans="1:29" x14ac:dyDescent="0.25">
      <c r="A88" s="26">
        <v>100000025749</v>
      </c>
      <c r="B88" s="28" t="s">
        <v>63</v>
      </c>
      <c r="C88" s="45">
        <v>333</v>
      </c>
      <c r="D88" s="36">
        <f t="shared" si="109"/>
        <v>333</v>
      </c>
      <c r="K88" s="7">
        <f>C88</f>
        <v>333</v>
      </c>
      <c r="P88" s="7">
        <f t="shared" si="110"/>
        <v>0</v>
      </c>
      <c r="W88" s="7">
        <f t="shared" si="111"/>
        <v>0</v>
      </c>
      <c r="AA88" s="7">
        <f t="shared" si="112"/>
        <v>0</v>
      </c>
    </row>
    <row r="89" spans="1:29" x14ac:dyDescent="0.25">
      <c r="A89" s="26"/>
      <c r="B89" s="28" t="s">
        <v>103</v>
      </c>
      <c r="C89" s="45"/>
      <c r="D89" s="36"/>
    </row>
    <row r="90" spans="1:29" x14ac:dyDescent="0.25">
      <c r="A90" s="26">
        <v>100000025958</v>
      </c>
      <c r="B90" s="27" t="s">
        <v>64</v>
      </c>
      <c r="C90" s="36">
        <v>0</v>
      </c>
      <c r="D90" s="36">
        <f t="shared" si="109"/>
        <v>0</v>
      </c>
      <c r="K90" s="7">
        <f t="shared" si="113"/>
        <v>0</v>
      </c>
      <c r="P90" s="7">
        <f t="shared" si="110"/>
        <v>0</v>
      </c>
      <c r="W90" s="7">
        <f t="shared" si="111"/>
        <v>0</v>
      </c>
      <c r="AA90" s="7">
        <f t="shared" si="112"/>
        <v>0</v>
      </c>
    </row>
    <row r="91" spans="1:29" x14ac:dyDescent="0.25">
      <c r="A91" s="77" t="s">
        <v>65</v>
      </c>
      <c r="B91" s="78"/>
      <c r="C91" s="36">
        <f>SUM(C43:C90)</f>
        <v>90064</v>
      </c>
      <c r="D91" s="36">
        <f t="shared" si="109"/>
        <v>90064</v>
      </c>
      <c r="K91" s="36">
        <f>SUM(K43:K90)</f>
        <v>23901.5</v>
      </c>
      <c r="P91" s="36">
        <f>SUM(P43:P90)</f>
        <v>24550.660000000003</v>
      </c>
      <c r="R91" s="36">
        <f>SUM(R43:R90)</f>
        <v>5420.5</v>
      </c>
      <c r="W91" s="36">
        <f>SUM(W43:W90)</f>
        <v>17370.539999999997</v>
      </c>
      <c r="AA91" s="36">
        <f>SUM(AA43:AA90)</f>
        <v>18820.800000000003</v>
      </c>
    </row>
    <row r="92" spans="1:29" x14ac:dyDescent="0.25">
      <c r="A92" s="41"/>
      <c r="B92" s="42"/>
      <c r="C92" s="36"/>
      <c r="D92" s="36"/>
    </row>
    <row r="93" spans="1:29" x14ac:dyDescent="0.25">
      <c r="A93" s="26">
        <v>100000002973</v>
      </c>
      <c r="B93" s="29" t="s">
        <v>66</v>
      </c>
      <c r="C93" s="36">
        <f>C71</f>
        <v>2000</v>
      </c>
      <c r="D93" s="36">
        <f t="shared" si="109"/>
        <v>2000</v>
      </c>
      <c r="K93" s="36">
        <f>K71</f>
        <v>0</v>
      </c>
      <c r="O93" s="7">
        <f>P93</f>
        <v>1800</v>
      </c>
      <c r="P93" s="36">
        <f>P71</f>
        <v>1800</v>
      </c>
      <c r="R93" s="36">
        <f>R71</f>
        <v>0</v>
      </c>
      <c r="W93" s="36">
        <f>W71</f>
        <v>0</v>
      </c>
      <c r="Z93" s="7">
        <f>AA93</f>
        <v>200</v>
      </c>
      <c r="AA93" s="36">
        <f>AA71</f>
        <v>200</v>
      </c>
      <c r="AC93" s="36">
        <f>K93+P93+R93+W93+AA93</f>
        <v>2000</v>
      </c>
    </row>
    <row r="94" spans="1:29" x14ac:dyDescent="0.25">
      <c r="A94" s="26">
        <v>100000002975</v>
      </c>
      <c r="B94" s="29" t="s">
        <v>21</v>
      </c>
      <c r="C94" s="36">
        <f>C75+C74+C73+C72</f>
        <v>2550</v>
      </c>
      <c r="D94" s="36">
        <f t="shared" si="109"/>
        <v>2550</v>
      </c>
      <c r="J94" s="7">
        <f>K94</f>
        <v>1275</v>
      </c>
      <c r="K94" s="36">
        <f>K75+K74+K73+K72</f>
        <v>1275</v>
      </c>
      <c r="P94" s="36">
        <f>P75+P74+P73+P72</f>
        <v>0</v>
      </c>
      <c r="R94" s="36">
        <f>R75+R74+R73+R72</f>
        <v>0</v>
      </c>
      <c r="T94" s="7">
        <f>W94*0.4</f>
        <v>306</v>
      </c>
      <c r="U94" s="7">
        <f>W94*0.3</f>
        <v>229.5</v>
      </c>
      <c r="V94" s="7">
        <f>W94*0.3</f>
        <v>229.5</v>
      </c>
      <c r="W94" s="36">
        <f>W75+W74+W73+W72</f>
        <v>765</v>
      </c>
      <c r="Y94" s="7">
        <f>AA94*0.5</f>
        <v>255</v>
      </c>
      <c r="Z94" s="7">
        <f>AA94*0.5</f>
        <v>255</v>
      </c>
      <c r="AA94" s="36">
        <f>AA75+AA74+AA73+AA72</f>
        <v>510</v>
      </c>
      <c r="AC94" s="36">
        <f t="shared" ref="AC94:AC108" si="119">K94+P94+R94+W94+AA94</f>
        <v>2550</v>
      </c>
    </row>
    <row r="95" spans="1:29" x14ac:dyDescent="0.25">
      <c r="A95" s="26">
        <v>100000002980</v>
      </c>
      <c r="B95" s="29" t="s">
        <v>67</v>
      </c>
      <c r="C95" s="36">
        <v>0</v>
      </c>
      <c r="D95" s="36">
        <f t="shared" si="109"/>
        <v>0</v>
      </c>
      <c r="K95" s="36">
        <v>0</v>
      </c>
      <c r="P95" s="36">
        <v>0</v>
      </c>
      <c r="R95" s="36">
        <v>0</v>
      </c>
      <c r="W95" s="36">
        <v>0</v>
      </c>
      <c r="AA95" s="36">
        <v>0</v>
      </c>
      <c r="AC95" s="36">
        <f t="shared" si="119"/>
        <v>0</v>
      </c>
    </row>
    <row r="96" spans="1:29" x14ac:dyDescent="0.25">
      <c r="A96" s="26">
        <v>100000002981</v>
      </c>
      <c r="B96" s="29" t="s">
        <v>68</v>
      </c>
      <c r="C96" s="36">
        <v>0</v>
      </c>
      <c r="D96" s="36">
        <f t="shared" si="109"/>
        <v>0</v>
      </c>
      <c r="K96" s="36">
        <v>0</v>
      </c>
      <c r="P96" s="36">
        <v>0</v>
      </c>
      <c r="R96" s="36">
        <v>0</v>
      </c>
      <c r="W96" s="36">
        <v>0</v>
      </c>
      <c r="AA96" s="36">
        <v>0</v>
      </c>
      <c r="AC96" s="36">
        <f t="shared" si="119"/>
        <v>0</v>
      </c>
    </row>
    <row r="97" spans="1:29" x14ac:dyDescent="0.25">
      <c r="A97" s="26">
        <v>100000002982</v>
      </c>
      <c r="B97" s="29" t="s">
        <v>69</v>
      </c>
      <c r="C97" s="36">
        <f>C63</f>
        <v>20126</v>
      </c>
      <c r="D97" s="36">
        <f t="shared" si="109"/>
        <v>20126</v>
      </c>
      <c r="G97" s="7">
        <f>K97</f>
        <v>3018.9</v>
      </c>
      <c r="K97" s="36">
        <f>K63</f>
        <v>3018.9</v>
      </c>
      <c r="N97" s="7">
        <f>P97*0.25</f>
        <v>251.57500000000002</v>
      </c>
      <c r="O97" s="7">
        <f>P97*0.75</f>
        <v>754.72500000000002</v>
      </c>
      <c r="P97" s="36">
        <f>P63</f>
        <v>1006.3000000000001</v>
      </c>
      <c r="R97" s="36">
        <f>R63</f>
        <v>0</v>
      </c>
      <c r="T97" s="7">
        <f>W97*0.4</f>
        <v>3622.6800000000003</v>
      </c>
      <c r="U97" s="7">
        <f>W97*0.3</f>
        <v>2717.01</v>
      </c>
      <c r="V97" s="7">
        <f>W97*0.3</f>
        <v>2717.01</v>
      </c>
      <c r="W97" s="36">
        <f>W63</f>
        <v>9056.7000000000007</v>
      </c>
      <c r="Z97" s="7">
        <f>AA97</f>
        <v>7044.0999999999995</v>
      </c>
      <c r="AA97" s="36">
        <f>AA63</f>
        <v>7044.0999999999995</v>
      </c>
      <c r="AC97" s="36">
        <f t="shared" si="119"/>
        <v>20126</v>
      </c>
    </row>
    <row r="98" spans="1:29" x14ac:dyDescent="0.25">
      <c r="A98" s="26">
        <v>100000002989</v>
      </c>
      <c r="B98" s="29" t="s">
        <v>18</v>
      </c>
      <c r="C98" s="36">
        <f>C62+C64</f>
        <v>7000</v>
      </c>
      <c r="D98" s="36">
        <f t="shared" si="109"/>
        <v>7000</v>
      </c>
      <c r="K98" s="36">
        <f>K62+K64</f>
        <v>0</v>
      </c>
      <c r="P98" s="36">
        <f>P62+P64</f>
        <v>0</v>
      </c>
      <c r="R98" s="36">
        <f>R62+R64</f>
        <v>0</v>
      </c>
      <c r="T98" s="7">
        <f>W98*0.3</f>
        <v>1785</v>
      </c>
      <c r="U98" s="7">
        <f>W98*0.35</f>
        <v>2082.5</v>
      </c>
      <c r="V98" s="7">
        <f>W98*0.35</f>
        <v>2082.5</v>
      </c>
      <c r="W98" s="36">
        <f>W62+W64</f>
        <v>5950</v>
      </c>
      <c r="Z98" s="7">
        <f>AA98</f>
        <v>1050</v>
      </c>
      <c r="AA98" s="36">
        <f>AA62+AA64</f>
        <v>1050</v>
      </c>
      <c r="AC98" s="36">
        <f t="shared" si="119"/>
        <v>7000</v>
      </c>
    </row>
    <row r="99" spans="1:29" x14ac:dyDescent="0.25">
      <c r="A99" s="26">
        <v>100000006036</v>
      </c>
      <c r="B99" s="29" t="s">
        <v>70</v>
      </c>
      <c r="C99" s="36">
        <f>C67+C44</f>
        <v>3750</v>
      </c>
      <c r="D99" s="36">
        <f t="shared" si="109"/>
        <v>3750</v>
      </c>
      <c r="I99" s="7">
        <f>K99</f>
        <v>3750</v>
      </c>
      <c r="K99" s="36">
        <f>K67+K44</f>
        <v>3750</v>
      </c>
      <c r="P99" s="36">
        <f>P67+P44</f>
        <v>0</v>
      </c>
      <c r="R99" s="36">
        <f>R67+R44</f>
        <v>0</v>
      </c>
      <c r="W99" s="36">
        <f>W67+W44</f>
        <v>0</v>
      </c>
      <c r="AA99" s="36">
        <f>AA67+AA44</f>
        <v>0</v>
      </c>
      <c r="AC99" s="36">
        <f t="shared" si="119"/>
        <v>3750</v>
      </c>
    </row>
    <row r="100" spans="1:29" x14ac:dyDescent="0.25">
      <c r="A100" s="26">
        <v>100000006046</v>
      </c>
      <c r="B100" s="29" t="s">
        <v>71</v>
      </c>
      <c r="C100" s="36">
        <f>C47</f>
        <v>0</v>
      </c>
      <c r="D100" s="36">
        <f t="shared" si="109"/>
        <v>0</v>
      </c>
      <c r="J100" s="7">
        <f>K100</f>
        <v>0</v>
      </c>
      <c r="K100" s="36">
        <f>K47</f>
        <v>0</v>
      </c>
      <c r="P100" s="36">
        <f>P47</f>
        <v>0</v>
      </c>
      <c r="R100" s="36">
        <f>R47</f>
        <v>0</v>
      </c>
      <c r="W100" s="36">
        <f>W47</f>
        <v>0</v>
      </c>
      <c r="AA100" s="36">
        <f>AA47</f>
        <v>0</v>
      </c>
      <c r="AC100" s="36">
        <f t="shared" si="119"/>
        <v>0</v>
      </c>
    </row>
    <row r="101" spans="1:29" x14ac:dyDescent="0.25">
      <c r="A101" s="26">
        <v>100000006047</v>
      </c>
      <c r="B101" s="29" t="s">
        <v>72</v>
      </c>
      <c r="C101" s="36">
        <f>C52+C68+C70+C69</f>
        <v>19096</v>
      </c>
      <c r="D101" s="36">
        <f t="shared" si="109"/>
        <v>19096.000000000004</v>
      </c>
      <c r="H101" s="7">
        <f>K101</f>
        <v>8107.6</v>
      </c>
      <c r="K101" s="36">
        <f>K52+K68+K70+K69</f>
        <v>8107.6</v>
      </c>
      <c r="N101" s="7">
        <f>P101</f>
        <v>9889.5600000000013</v>
      </c>
      <c r="P101" s="36">
        <f>P52+P68+P70+P69</f>
        <v>9889.5600000000013</v>
      </c>
      <c r="R101" s="36">
        <f>R52+R68+R70+R69</f>
        <v>0</v>
      </c>
      <c r="T101" s="7">
        <f>W101</f>
        <v>1098.8399999999999</v>
      </c>
      <c r="W101" s="36">
        <f>W52+W68+W70+W69</f>
        <v>1098.8399999999999</v>
      </c>
      <c r="AA101" s="36">
        <f>AA52+AA68+AA70+AA69</f>
        <v>0</v>
      </c>
      <c r="AC101" s="36">
        <f t="shared" si="119"/>
        <v>19096.000000000004</v>
      </c>
    </row>
    <row r="102" spans="1:29" x14ac:dyDescent="0.25">
      <c r="A102" s="26">
        <v>100000006048</v>
      </c>
      <c r="B102" s="29" t="s">
        <v>73</v>
      </c>
      <c r="C102" s="36">
        <f>C88+C87+C57+C56+C55+C54</f>
        <v>1050</v>
      </c>
      <c r="D102" s="36">
        <f t="shared" si="109"/>
        <v>1050</v>
      </c>
      <c r="J102" s="7">
        <f>K102</f>
        <v>1050</v>
      </c>
      <c r="K102" s="36">
        <f>K88+K87+K57+K56+K55+K54</f>
        <v>1050</v>
      </c>
      <c r="P102" s="36">
        <f>P88+P87+P57+P56+P55+P54</f>
        <v>0</v>
      </c>
      <c r="R102" s="36">
        <f>R88+R87+R57+R56+R55+R54</f>
        <v>0</v>
      </c>
      <c r="W102" s="36">
        <f>W88+W87+W57+W56+W55+W54</f>
        <v>0</v>
      </c>
      <c r="AA102" s="36">
        <f>AA88+AA87+AA57+AA56+AA55+AA54</f>
        <v>0</v>
      </c>
      <c r="AC102" s="36">
        <f t="shared" si="119"/>
        <v>1050</v>
      </c>
    </row>
    <row r="103" spans="1:29" x14ac:dyDescent="0.25">
      <c r="A103" s="26">
        <v>100000011633</v>
      </c>
      <c r="B103" s="29" t="s">
        <v>74</v>
      </c>
      <c r="C103" s="36">
        <v>0</v>
      </c>
      <c r="D103" s="36">
        <f t="shared" si="109"/>
        <v>0</v>
      </c>
      <c r="K103" s="36">
        <v>0</v>
      </c>
      <c r="P103" s="36">
        <v>0</v>
      </c>
      <c r="R103" s="36">
        <v>0</v>
      </c>
      <c r="W103" s="36">
        <v>0</v>
      </c>
      <c r="AA103" s="36">
        <v>0</v>
      </c>
      <c r="AC103" s="36">
        <f t="shared" si="119"/>
        <v>0</v>
      </c>
    </row>
    <row r="104" spans="1:29" x14ac:dyDescent="0.25">
      <c r="A104" s="26">
        <v>100000012014</v>
      </c>
      <c r="B104" s="29" t="s">
        <v>75</v>
      </c>
      <c r="C104" s="36">
        <v>0</v>
      </c>
      <c r="D104" s="36">
        <f t="shared" si="109"/>
        <v>0</v>
      </c>
      <c r="K104" s="36">
        <v>0</v>
      </c>
      <c r="P104" s="36">
        <v>0</v>
      </c>
      <c r="R104" s="36">
        <v>0</v>
      </c>
      <c r="W104" s="36">
        <v>0</v>
      </c>
      <c r="AA104" s="36">
        <v>0</v>
      </c>
      <c r="AC104" s="36">
        <f t="shared" si="119"/>
        <v>0</v>
      </c>
    </row>
    <row r="105" spans="1:29" x14ac:dyDescent="0.25">
      <c r="A105" s="26">
        <v>100000017893</v>
      </c>
      <c r="B105" s="29" t="s">
        <v>76</v>
      </c>
      <c r="C105" s="36">
        <f>C65</f>
        <v>13172</v>
      </c>
      <c r="D105" s="36">
        <f t="shared" si="109"/>
        <v>13172.000000000002</v>
      </c>
      <c r="K105" s="36">
        <f>K65</f>
        <v>0</v>
      </c>
      <c r="N105" s="7">
        <f>P105*0.2</f>
        <v>2370.9600000000005</v>
      </c>
      <c r="O105" s="7">
        <f>P105*0.8</f>
        <v>9483.840000000002</v>
      </c>
      <c r="P105" s="36">
        <f>P65</f>
        <v>11854.800000000001</v>
      </c>
      <c r="R105" s="36">
        <f>R65</f>
        <v>0</v>
      </c>
      <c r="W105" s="36">
        <f>W65</f>
        <v>0</v>
      </c>
      <c r="Z105" s="7">
        <f>AA105</f>
        <v>1317.2</v>
      </c>
      <c r="AA105" s="36">
        <f>AA65</f>
        <v>1317.2</v>
      </c>
      <c r="AC105" s="36">
        <f t="shared" si="119"/>
        <v>13172.000000000002</v>
      </c>
    </row>
    <row r="106" spans="1:29" x14ac:dyDescent="0.25">
      <c r="A106" s="26">
        <v>100000032221</v>
      </c>
      <c r="B106" s="29" t="s">
        <v>77</v>
      </c>
      <c r="C106" s="36">
        <f>C53</f>
        <v>6000</v>
      </c>
      <c r="D106" s="36">
        <f t="shared" si="109"/>
        <v>6000</v>
      </c>
      <c r="G106" s="7">
        <f>K106</f>
        <v>6000</v>
      </c>
      <c r="K106" s="36">
        <f>K53</f>
        <v>6000</v>
      </c>
      <c r="P106" s="36">
        <f>P53</f>
        <v>0</v>
      </c>
      <c r="R106" s="36">
        <f>R53</f>
        <v>0</v>
      </c>
      <c r="U106" s="7">
        <f>W106*0.5</f>
        <v>0</v>
      </c>
      <c r="V106" s="7">
        <f>W106*0.5</f>
        <v>0</v>
      </c>
      <c r="W106" s="36">
        <f>W53</f>
        <v>0</v>
      </c>
      <c r="Z106" s="7">
        <v>3000</v>
      </c>
      <c r="AA106" s="36">
        <f>AA53</f>
        <v>0</v>
      </c>
      <c r="AC106" s="36">
        <f t="shared" si="119"/>
        <v>6000</v>
      </c>
    </row>
    <row r="107" spans="1:29" x14ac:dyDescent="0.25">
      <c r="A107" s="26">
        <v>100000017894</v>
      </c>
      <c r="B107" s="29" t="s">
        <v>78</v>
      </c>
      <c r="C107" s="36">
        <f>C81+C66+C48+C50+C51+C46+C76+C77</f>
        <v>14120</v>
      </c>
      <c r="D107" s="36">
        <f t="shared" si="109"/>
        <v>14120</v>
      </c>
      <c r="K107" s="36">
        <f>K81+K66+K48+K50+K51+K46+K76+K77</f>
        <v>0</v>
      </c>
      <c r="P107" s="36">
        <f>P81+P66+P48+P50+P51+P46+P76+P77</f>
        <v>0</v>
      </c>
      <c r="R107" s="36">
        <f>R81+R66+R48+R50+R51+R46+R76+R77</f>
        <v>5420.5</v>
      </c>
      <c r="W107" s="36">
        <f>W81+W66+W48+W50+W51+W46+W76+W77</f>
        <v>0</v>
      </c>
      <c r="Y107" s="7">
        <f>AA107</f>
        <v>8699.5</v>
      </c>
      <c r="AA107" s="36">
        <f>AA81+AA66+AA48+AA50+AA51+AA46+AA76+AA77</f>
        <v>8699.5</v>
      </c>
      <c r="AC107" s="36">
        <f t="shared" si="119"/>
        <v>14120</v>
      </c>
    </row>
    <row r="108" spans="1:29" x14ac:dyDescent="0.25">
      <c r="B108" s="16" t="s">
        <v>84</v>
      </c>
      <c r="C108" s="16">
        <f>C49</f>
        <v>500</v>
      </c>
      <c r="K108" s="16">
        <f>K49</f>
        <v>0</v>
      </c>
      <c r="P108" s="16">
        <f>P49</f>
        <v>0</v>
      </c>
      <c r="R108" s="16">
        <f>R49</f>
        <v>0</v>
      </c>
      <c r="U108" s="7">
        <v>250</v>
      </c>
      <c r="V108" s="7">
        <v>250</v>
      </c>
      <c r="W108" s="16">
        <f>W49</f>
        <v>500</v>
      </c>
      <c r="AA108" s="16">
        <f>AA49</f>
        <v>0</v>
      </c>
      <c r="AC108" s="36">
        <f t="shared" si="119"/>
        <v>500</v>
      </c>
    </row>
    <row r="110" spans="1:29" x14ac:dyDescent="0.25">
      <c r="Z110" s="7">
        <f>Z98+Z97</f>
        <v>8094.0999999999995</v>
      </c>
    </row>
    <row r="111" spans="1:29" x14ac:dyDescent="0.25">
      <c r="Z111" s="7">
        <f>Z110/0.8</f>
        <v>10117.624999999998</v>
      </c>
    </row>
    <row r="112" spans="1:29" x14ac:dyDescent="0.25">
      <c r="Z112" s="7">
        <f>Z111*0.27</f>
        <v>2731.7587499999995</v>
      </c>
    </row>
    <row r="113" spans="20:26" x14ac:dyDescent="0.25">
      <c r="Z113" s="49"/>
    </row>
    <row r="114" spans="20:26" x14ac:dyDescent="0.25">
      <c r="T114" s="46"/>
    </row>
    <row r="115" spans="20:26" x14ac:dyDescent="0.25">
      <c r="Y115" s="49"/>
    </row>
  </sheetData>
  <mergeCells count="8">
    <mergeCell ref="A91:B91"/>
    <mergeCell ref="AF24:AJ24"/>
    <mergeCell ref="AL24:AP24"/>
    <mergeCell ref="AR24:AV24"/>
    <mergeCell ref="F6:K6"/>
    <mergeCell ref="M6:P6"/>
    <mergeCell ref="T6:W6"/>
    <mergeCell ref="Y6:AA6"/>
  </mergeCells>
  <pageMargins left="0" right="0" top="0.75" bottom="0.75" header="0.3" footer="0.3"/>
  <pageSetup scale="33" fitToHeight="3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CE117"/>
  <sheetViews>
    <sheetView tabSelected="1" topLeftCell="B4" zoomScaleNormal="100" workbookViewId="0">
      <pane xSplit="4" ySplit="4" topLeftCell="F52" activePane="bottomRight" state="frozen"/>
      <selection activeCell="B4" sqref="B4"/>
      <selection pane="topRight" activeCell="F4" sqref="F4"/>
      <selection pane="bottomLeft" activeCell="B8" sqref="B8"/>
      <selection pane="bottomRight" activeCell="C65" sqref="C65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0.38222125150158348</v>
      </c>
      <c r="M3" s="15">
        <f>K53/D53</f>
        <v>0.47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126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>
        <v>0</v>
      </c>
      <c r="N8" s="5">
        <v>700</v>
      </c>
      <c r="O8" s="5">
        <v>700</v>
      </c>
      <c r="P8" s="5">
        <f>SUM(M8:O8)</f>
        <v>1400</v>
      </c>
      <c r="Q8" s="2"/>
      <c r="R8" s="5">
        <f>(4.75*2*24)/0.78</f>
        <v>292.30769230769232</v>
      </c>
      <c r="S8" s="5">
        <f>(3.5*1*24)/0.78</f>
        <v>107.69230769230769</v>
      </c>
      <c r="T8" s="5">
        <f>S8+R8</f>
        <v>400</v>
      </c>
      <c r="U8" s="2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(((240/0.78)*0.08)+240)/0.78</f>
        <v>339.25049309664695</v>
      </c>
      <c r="AB8" s="7">
        <f>(((120/0.78)*0.08)+120)/0.78</f>
        <v>169.62524654832347</v>
      </c>
      <c r="AC8" s="5">
        <v>700</v>
      </c>
      <c r="AD8" s="5">
        <f>SUM(AA8:AC8)</f>
        <v>1208.8757396449705</v>
      </c>
      <c r="AF8" s="1">
        <f>AD8+Y8+R8+P8+K8</f>
        <v>5291.1834319526624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0.78</v>
      </c>
      <c r="S9" s="22">
        <v>0.78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0.78</v>
      </c>
      <c r="AB9" s="22">
        <v>0.78</v>
      </c>
      <c r="AC9" s="22">
        <v>0.78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:O10" si="1">M8*M9</f>
        <v>0</v>
      </c>
      <c r="N10" s="5">
        <f t="shared" si="1"/>
        <v>546</v>
      </c>
      <c r="O10" s="5">
        <f t="shared" si="1"/>
        <v>546</v>
      </c>
      <c r="P10" s="5">
        <f>SUM(M10:O10)</f>
        <v>1092</v>
      </c>
      <c r="Q10" s="2"/>
      <c r="R10" s="5">
        <f t="shared" ref="R10:S10" si="2">R8*R9</f>
        <v>228.00000000000003</v>
      </c>
      <c r="S10" s="5">
        <f t="shared" si="2"/>
        <v>84</v>
      </c>
      <c r="T10" s="5">
        <f>R10+S10</f>
        <v>312</v>
      </c>
      <c r="U10" s="2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264.61538461538464</v>
      </c>
      <c r="AB10" s="5">
        <f t="shared" ref="AB10" si="5">AB8*AB9</f>
        <v>132.30769230769232</v>
      </c>
      <c r="AC10" s="5">
        <f t="shared" si="4"/>
        <v>546</v>
      </c>
      <c r="AD10" s="5">
        <f>SUM(AA10:AC10)</f>
        <v>942.92307692307691</v>
      </c>
      <c r="AF10" s="1">
        <f>AD10+Y10+R10+P10+K10</f>
        <v>4127.123076923077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2"/>
      <c r="R11" s="5">
        <v>31</v>
      </c>
      <c r="S11" s="5">
        <v>31</v>
      </c>
      <c r="T11" s="5"/>
      <c r="U11" s="2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3.5</v>
      </c>
      <c r="G12" s="39">
        <v>3.5</v>
      </c>
      <c r="H12" s="39">
        <v>3.5</v>
      </c>
      <c r="I12" s="39">
        <v>3.5</v>
      </c>
      <c r="J12" s="39">
        <v>3.5</v>
      </c>
      <c r="K12" s="5"/>
      <c r="L12" s="3"/>
      <c r="M12" s="39">
        <v>3.5</v>
      </c>
      <c r="N12" s="39">
        <v>3.5</v>
      </c>
      <c r="O12" s="39">
        <v>3.5</v>
      </c>
      <c r="P12" s="5"/>
      <c r="Q12" s="2"/>
      <c r="R12" s="39">
        <v>0</v>
      </c>
      <c r="S12" s="39">
        <v>0</v>
      </c>
      <c r="T12" s="39"/>
      <c r="U12" s="2"/>
      <c r="V12" s="39">
        <v>3.5</v>
      </c>
      <c r="W12" s="39">
        <v>3.5</v>
      </c>
      <c r="X12" s="39">
        <v>3.5</v>
      </c>
      <c r="Y12" s="5"/>
      <c r="AA12" s="39">
        <v>0</v>
      </c>
      <c r="AB12" s="39">
        <v>0</v>
      </c>
      <c r="AC12" s="39">
        <v>3.5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2"/>
      <c r="R13" s="22">
        <v>0.25</v>
      </c>
      <c r="S13" s="22">
        <v>0.25</v>
      </c>
      <c r="T13" s="22"/>
      <c r="U13" s="2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2"/>
      <c r="R14" s="39">
        <v>2</v>
      </c>
      <c r="S14" s="39">
        <v>2</v>
      </c>
      <c r="T14" s="39"/>
      <c r="U14" s="2"/>
      <c r="V14" s="39">
        <v>1.5</v>
      </c>
      <c r="W14" s="39">
        <v>1.5</v>
      </c>
      <c r="X14" s="39">
        <v>1.5</v>
      </c>
      <c r="Y14" s="5"/>
      <c r="AA14" s="39">
        <v>5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25.75</v>
      </c>
      <c r="G15" s="40">
        <f t="shared" ref="G15:J15" si="6">G11-G12-G14-G13</f>
        <v>25.75</v>
      </c>
      <c r="H15" s="40">
        <f t="shared" si="6"/>
        <v>25.75</v>
      </c>
      <c r="I15" s="40">
        <f t="shared" si="6"/>
        <v>25.75</v>
      </c>
      <c r="J15" s="40">
        <f t="shared" si="6"/>
        <v>25.75</v>
      </c>
      <c r="K15" s="1"/>
      <c r="M15" s="40">
        <f>M11-M12-M14-M13</f>
        <v>25.75</v>
      </c>
      <c r="N15" s="40">
        <f t="shared" ref="N15:O15" si="7">N11-N12-N14-N13</f>
        <v>25.75</v>
      </c>
      <c r="O15" s="40">
        <f t="shared" si="7"/>
        <v>25.75</v>
      </c>
      <c r="P15" s="1"/>
      <c r="R15" s="40">
        <f>R11-R12-R14-R13</f>
        <v>28.75</v>
      </c>
      <c r="S15" s="40">
        <f>S11-S12-S14-S13</f>
        <v>28.75</v>
      </c>
      <c r="T15" s="40"/>
      <c r="V15" s="40">
        <f t="shared" ref="V15:X15" si="8">V11-V12-V14-V13</f>
        <v>25.75</v>
      </c>
      <c r="W15" s="40">
        <f t="shared" si="8"/>
        <v>25.75</v>
      </c>
      <c r="X15" s="40">
        <f t="shared" si="8"/>
        <v>25.75</v>
      </c>
      <c r="Y15" s="1"/>
      <c r="AA15" s="40">
        <f t="shared" ref="AA15:AC15" si="9">AA11-AA12-AA14-AA13</f>
        <v>25.75</v>
      </c>
      <c r="AB15" s="40">
        <f t="shared" ref="AB15" si="10">AB11-AB12-AB14-AB13</f>
        <v>28.75</v>
      </c>
      <c r="AC15" s="40">
        <f t="shared" si="9"/>
        <v>26.25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</v>
      </c>
      <c r="S16" s="21">
        <v>0.9</v>
      </c>
      <c r="T16" s="21"/>
      <c r="V16" s="21">
        <v>0.95</v>
      </c>
      <c r="W16" s="21">
        <v>0.95</v>
      </c>
      <c r="X16" s="21">
        <v>0.95</v>
      </c>
      <c r="Y16" s="21"/>
      <c r="AA16" s="21">
        <v>0.95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0</v>
      </c>
      <c r="G17" s="1">
        <f t="shared" ref="G17:J17" si="11">G16*G15*G10</f>
        <v>9038.25</v>
      </c>
      <c r="H17" s="1">
        <f t="shared" si="11"/>
        <v>9038.25</v>
      </c>
      <c r="I17" s="1">
        <f t="shared" si="11"/>
        <v>3976.83</v>
      </c>
      <c r="J17" s="1">
        <f t="shared" si="11"/>
        <v>4880.6549999999997</v>
      </c>
      <c r="K17" s="5">
        <f>SUM(F17:J17)</f>
        <v>26933.985000000001</v>
      </c>
      <c r="M17" s="1">
        <f t="shared" ref="M17:O17" si="12">M16*M15*M10</f>
        <v>0</v>
      </c>
      <c r="N17" s="1">
        <f t="shared" si="12"/>
        <v>12653.550000000001</v>
      </c>
      <c r="O17" s="1">
        <f t="shared" si="12"/>
        <v>12653.550000000001</v>
      </c>
      <c r="P17" s="5">
        <f>SUM(M17:O17)</f>
        <v>25307.100000000002</v>
      </c>
      <c r="R17" s="1">
        <f>R16*R15*R10</f>
        <v>5899.5000000000009</v>
      </c>
      <c r="S17" s="1">
        <f>S16*S15*S10</f>
        <v>2173.5</v>
      </c>
      <c r="T17" s="1">
        <f>R17+S17</f>
        <v>8073.0000000000009</v>
      </c>
      <c r="V17" s="1">
        <f>V16*V15*V10</f>
        <v>6869.07</v>
      </c>
      <c r="W17" s="1">
        <f t="shared" ref="W17:X17" si="13">W16*W15*W10</f>
        <v>5151.8024999999998</v>
      </c>
      <c r="X17" s="1">
        <f t="shared" si="13"/>
        <v>5151.8024999999998</v>
      </c>
      <c r="Y17" s="5">
        <f>SUM(V17:X17)</f>
        <v>17172.674999999999</v>
      </c>
      <c r="AA17" s="70">
        <f>AA16*AA15*AA10</f>
        <v>6473.1538461538466</v>
      </c>
      <c r="AB17" s="70">
        <f>AB16*AB15*AB10</f>
        <v>3423.461538461539</v>
      </c>
      <c r="AC17" s="1">
        <f t="shared" ref="AC17" si="14">AC16*AC15*AC10</f>
        <v>12899.25</v>
      </c>
      <c r="AD17" s="5">
        <f>SUM(Z17:AC17)</f>
        <v>22795.865384615387</v>
      </c>
      <c r="AF17" s="1">
        <f>AD17+Y17+R17+P17+K17</f>
        <v>98109.125384615385</v>
      </c>
      <c r="AI17" s="46"/>
    </row>
    <row r="19" spans="2:83" x14ac:dyDescent="0.25">
      <c r="B19" s="19" t="s">
        <v>18</v>
      </c>
      <c r="C19" s="16">
        <f>C27+C29+C30+C31+C34+C28</f>
        <v>66594</v>
      </c>
      <c r="D19" s="16">
        <f>D27+D29+D30+D31+D34+D28</f>
        <v>66594</v>
      </c>
      <c r="F19" s="1">
        <f>F17</f>
        <v>0</v>
      </c>
      <c r="G19" s="1">
        <f t="shared" ref="G19:H19" si="15">G17</f>
        <v>9038.25</v>
      </c>
      <c r="H19" s="1">
        <f t="shared" si="15"/>
        <v>9038.25</v>
      </c>
      <c r="I19" s="1"/>
      <c r="J19" s="1"/>
      <c r="K19" s="5">
        <f t="shared" ref="K19:K25" si="16">SUM(F19:J19)</f>
        <v>18076.5</v>
      </c>
      <c r="M19" s="1">
        <f>M17*0.5</f>
        <v>0</v>
      </c>
      <c r="N19" s="1">
        <f>N17*0.8</f>
        <v>10122.840000000002</v>
      </c>
      <c r="O19" s="1">
        <f>O17</f>
        <v>12653.550000000001</v>
      </c>
      <c r="P19" s="5">
        <f t="shared" ref="P19:P25" si="17">SUM(M19:O19)</f>
        <v>22776.390000000003</v>
      </c>
      <c r="R19" s="1"/>
      <c r="S19" s="1"/>
      <c r="T19" s="1">
        <f>SUM(R19:S19)</f>
        <v>0</v>
      </c>
      <c r="V19" s="1">
        <f>V17-V23</f>
        <v>6384.7124999999996</v>
      </c>
      <c r="W19" s="1">
        <f t="shared" ref="W19:X19" si="18">W17-W23</f>
        <v>4755.51</v>
      </c>
      <c r="X19" s="1">
        <f t="shared" si="18"/>
        <v>4755.51</v>
      </c>
      <c r="Y19" s="5">
        <f t="shared" ref="Y19:Y25" si="19">SUM(V19:X19)</f>
        <v>15895.7325</v>
      </c>
      <c r="AA19" s="1"/>
      <c r="AB19" s="1"/>
      <c r="AC19" s="1">
        <f>AC17*0.95</f>
        <v>12254.287499999999</v>
      </c>
      <c r="AD19" s="5">
        <f t="shared" ref="AD19:AD25" si="20">SUM(Z19:AC19)</f>
        <v>12254.287499999999</v>
      </c>
      <c r="AF19" s="1">
        <f t="shared" ref="AF19:AF25" si="21">AD19+Y19+R19+P19+K19</f>
        <v>69002.91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2440.3274999999999</v>
      </c>
      <c r="K20" s="5">
        <f t="shared" si="16"/>
        <v>2440.3274999999999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ref="T20:T25" si="22">SUM(R20:S20)</f>
        <v>0</v>
      </c>
      <c r="V20" s="1"/>
      <c r="W20" s="1"/>
      <c r="X20" s="1"/>
      <c r="Y20" s="5">
        <f t="shared" si="19"/>
        <v>0</v>
      </c>
      <c r="AA20" s="1"/>
      <c r="AB20" s="1"/>
      <c r="AC20" s="1"/>
      <c r="AD20" s="5"/>
      <c r="AF20" s="1">
        <f t="shared" si="21"/>
        <v>2440.3274999999999</v>
      </c>
    </row>
    <row r="21" spans="2:83" x14ac:dyDescent="0.25">
      <c r="B21" s="19" t="s">
        <v>19</v>
      </c>
      <c r="C21" s="16">
        <f>C33</f>
        <v>2000</v>
      </c>
      <c r="D21" s="16">
        <f>D33</f>
        <v>2000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0</v>
      </c>
      <c r="N21" s="1">
        <f>N17*0.2</f>
        <v>2530.7100000000005</v>
      </c>
      <c r="O21" s="1"/>
      <c r="P21" s="5">
        <f t="shared" si="17"/>
        <v>2530.7100000000005</v>
      </c>
      <c r="R21" s="1"/>
      <c r="S21" s="1"/>
      <c r="T21" s="1">
        <f t="shared" si="22"/>
        <v>0</v>
      </c>
      <c r="V21" s="1"/>
      <c r="W21" s="1"/>
      <c r="X21" s="1"/>
      <c r="Y21" s="5">
        <f t="shared" si="19"/>
        <v>0</v>
      </c>
      <c r="AA21" s="1"/>
      <c r="AB21" s="1"/>
      <c r="AC21" s="1"/>
      <c r="AD21" s="5">
        <f t="shared" si="20"/>
        <v>0</v>
      </c>
      <c r="AF21" s="1">
        <f t="shared" si="21"/>
        <v>2530.7100000000005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3976.83</v>
      </c>
      <c r="J22" s="1"/>
      <c r="K22" s="5">
        <f t="shared" si="16"/>
        <v>3976.83</v>
      </c>
      <c r="M22" s="1"/>
      <c r="N22" s="1"/>
      <c r="O22" s="1"/>
      <c r="P22" s="5">
        <f t="shared" si="17"/>
        <v>0</v>
      </c>
      <c r="R22" s="1"/>
      <c r="S22" s="1"/>
      <c r="T22" s="1">
        <f t="shared" si="22"/>
        <v>0</v>
      </c>
      <c r="V22" s="1"/>
      <c r="W22" s="1"/>
      <c r="X22" s="1"/>
      <c r="Y22" s="5">
        <f t="shared" si="19"/>
        <v>0</v>
      </c>
      <c r="AA22" s="1"/>
      <c r="AB22" s="1"/>
      <c r="AC22" s="1"/>
      <c r="AD22" s="5">
        <f t="shared" si="20"/>
        <v>0</v>
      </c>
      <c r="AF22" s="1">
        <f t="shared" si="21"/>
        <v>3976.83</v>
      </c>
    </row>
    <row r="23" spans="2:83" x14ac:dyDescent="0.25">
      <c r="B23" s="19" t="s">
        <v>21</v>
      </c>
      <c r="C23" s="16">
        <f>C37+C38+C39</f>
        <v>3600</v>
      </c>
      <c r="D23" s="16">
        <f>D37+D38+D39</f>
        <v>3600</v>
      </c>
      <c r="F23" s="1"/>
      <c r="G23" s="1"/>
      <c r="H23" s="1"/>
      <c r="I23" s="1"/>
      <c r="J23" s="1">
        <f>J17*0.5</f>
        <v>2440.3274999999999</v>
      </c>
      <c r="K23" s="5">
        <f t="shared" si="16"/>
        <v>2440.3274999999999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22"/>
        <v>0</v>
      </c>
      <c r="V23" s="1">
        <f>(V17/V9)*0.055</f>
        <v>484.35750000000002</v>
      </c>
      <c r="W23" s="1">
        <f t="shared" ref="W23:X23" si="23">(W17/W9)*0.06</f>
        <v>396.2924999999999</v>
      </c>
      <c r="X23" s="1">
        <f t="shared" si="23"/>
        <v>396.2924999999999</v>
      </c>
      <c r="Y23" s="5">
        <f t="shared" si="19"/>
        <v>1276.9424999999997</v>
      </c>
      <c r="AA23" s="1">
        <f>AA17*0.08</f>
        <v>517.8523076923077</v>
      </c>
      <c r="AB23" s="1">
        <f>AB17*0.08</f>
        <v>273.87692307692311</v>
      </c>
      <c r="AC23" s="1">
        <f>AC17*0.05</f>
        <v>644.96250000000009</v>
      </c>
      <c r="AD23" s="5">
        <f t="shared" si="20"/>
        <v>1436.6917307692308</v>
      </c>
      <c r="AF23" s="1">
        <f t="shared" si="21"/>
        <v>5153.9617307692297</v>
      </c>
      <c r="AG23" s="7">
        <f>AF23/31</f>
        <v>166.25683002481387</v>
      </c>
      <c r="AH23" s="7">
        <f>Y23/31</f>
        <v>41.191693548387086</v>
      </c>
      <c r="AI23" s="7">
        <f>AD23/31</f>
        <v>46.344894540942931</v>
      </c>
      <c r="AJ23" s="15">
        <f>J23/31</f>
        <v>78.72024193548387</v>
      </c>
    </row>
    <row r="24" spans="2:83" x14ac:dyDescent="0.25">
      <c r="B24" s="19" t="s">
        <v>91</v>
      </c>
      <c r="C24" s="16">
        <f>C35</f>
        <v>11415</v>
      </c>
      <c r="D24" s="16">
        <f>D35</f>
        <v>11415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5899.5000000000009</v>
      </c>
      <c r="S24" s="1"/>
      <c r="T24" s="1">
        <f t="shared" si="22"/>
        <v>5899.5000000000009</v>
      </c>
      <c r="V24" s="1"/>
      <c r="W24" s="1"/>
      <c r="X24" s="1"/>
      <c r="Y24" s="5">
        <f t="shared" si="19"/>
        <v>0</v>
      </c>
      <c r="AA24" s="1">
        <f>AA17-AA23</f>
        <v>5955.3015384615392</v>
      </c>
      <c r="AB24" s="1"/>
      <c r="AC24" s="1"/>
      <c r="AD24" s="5">
        <f t="shared" si="20"/>
        <v>5955.3015384615392</v>
      </c>
      <c r="AF24" s="1">
        <f t="shared" si="21"/>
        <v>11854.801538461539</v>
      </c>
    </row>
    <row r="25" spans="2:83" x14ac:dyDescent="0.25">
      <c r="B25" s="19" t="s">
        <v>126</v>
      </c>
      <c r="C25" s="16">
        <f>C36</f>
        <v>2000</v>
      </c>
      <c r="D25" s="16">
        <f>D36</f>
        <v>2000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>S17</f>
        <v>2173.5</v>
      </c>
      <c r="T25" s="1">
        <f t="shared" si="22"/>
        <v>2173.5</v>
      </c>
      <c r="V25" s="1"/>
      <c r="W25" s="1"/>
      <c r="X25" s="1"/>
      <c r="Y25" s="5">
        <f t="shared" si="19"/>
        <v>0</v>
      </c>
      <c r="AA25" s="1"/>
      <c r="AB25" s="1">
        <f>AB17-AB23</f>
        <v>3149.584615384616</v>
      </c>
      <c r="AC25" s="1"/>
      <c r="AD25" s="5">
        <f t="shared" si="20"/>
        <v>3149.584615384616</v>
      </c>
      <c r="AF25" s="1">
        <f t="shared" si="21"/>
        <v>3149.584615384616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2"/>
      <c r="P26" s="2"/>
      <c r="Y26" s="2"/>
      <c r="AD26" s="2"/>
      <c r="AH26" s="59"/>
      <c r="AI26" s="60" t="s">
        <v>104</v>
      </c>
      <c r="AJ26" s="60" t="s">
        <v>0</v>
      </c>
      <c r="AK26" s="60" t="s">
        <v>1</v>
      </c>
      <c r="AL26" s="60" t="s">
        <v>105</v>
      </c>
      <c r="AM26" s="60" t="s">
        <v>3</v>
      </c>
      <c r="AN26" s="60" t="s">
        <v>119</v>
      </c>
      <c r="AP26" s="58" t="s">
        <v>104</v>
      </c>
      <c r="AQ26" s="58" t="s">
        <v>0</v>
      </c>
      <c r="AR26" s="58" t="s">
        <v>1</v>
      </c>
      <c r="AS26" s="58" t="s">
        <v>105</v>
      </c>
      <c r="AT26" s="58" t="s">
        <v>3</v>
      </c>
      <c r="AU26" s="58" t="s">
        <v>119</v>
      </c>
      <c r="AW26" s="56" t="s">
        <v>104</v>
      </c>
      <c r="AX26" s="56" t="s">
        <v>0</v>
      </c>
      <c r="AY26" s="56" t="s">
        <v>1</v>
      </c>
      <c r="AZ26" s="56" t="s">
        <v>105</v>
      </c>
      <c r="BA26" s="56" t="s">
        <v>3</v>
      </c>
      <c r="BC26" s="56" t="s">
        <v>104</v>
      </c>
      <c r="BD26" s="56" t="s">
        <v>0</v>
      </c>
      <c r="BE26" s="56" t="s">
        <v>1</v>
      </c>
      <c r="BF26" s="56" t="s">
        <v>105</v>
      </c>
      <c r="BG26" s="56" t="s">
        <v>3</v>
      </c>
      <c r="BI26" s="56" t="s">
        <v>104</v>
      </c>
      <c r="BJ26" s="56" t="s">
        <v>0</v>
      </c>
      <c r="BK26" s="56" t="s">
        <v>1</v>
      </c>
      <c r="BL26" s="56" t="s">
        <v>105</v>
      </c>
      <c r="BM26" s="56" t="s">
        <v>3</v>
      </c>
      <c r="BO26" s="56" t="s">
        <v>104</v>
      </c>
      <c r="BP26" s="56" t="s">
        <v>0</v>
      </c>
      <c r="BQ26" s="56" t="s">
        <v>1</v>
      </c>
      <c r="BR26" s="56" t="s">
        <v>105</v>
      </c>
      <c r="BS26" s="56" t="s">
        <v>3</v>
      </c>
      <c r="BU26" s="56" t="s">
        <v>104</v>
      </c>
      <c r="BV26" s="56" t="s">
        <v>0</v>
      </c>
      <c r="BW26" s="56" t="s">
        <v>1</v>
      </c>
      <c r="BX26" s="56" t="s">
        <v>105</v>
      </c>
      <c r="BY26" s="56" t="s">
        <v>3</v>
      </c>
      <c r="CA26" s="56" t="s">
        <v>104</v>
      </c>
      <c r="CB26" s="56" t="s">
        <v>0</v>
      </c>
      <c r="CC26" s="56" t="s">
        <v>1</v>
      </c>
      <c r="CD26" s="56" t="s">
        <v>105</v>
      </c>
      <c r="CE26" s="56" t="s">
        <v>3</v>
      </c>
    </row>
    <row r="27" spans="2:83" x14ac:dyDescent="0.25">
      <c r="B27" s="16" t="s">
        <v>114</v>
      </c>
      <c r="C27" s="16">
        <f>C64+C68+C69+C82</f>
        <v>21608</v>
      </c>
      <c r="D27" s="16">
        <f>D64+D68+D69+D82</f>
        <v>21608</v>
      </c>
      <c r="F27" s="16">
        <f t="shared" ref="F27:K27" si="24">F64+F68+F69+F82</f>
        <v>0</v>
      </c>
      <c r="G27" s="16">
        <f t="shared" si="24"/>
        <v>0</v>
      </c>
      <c r="H27" s="16">
        <f t="shared" si="24"/>
        <v>0</v>
      </c>
      <c r="I27" s="16">
        <f t="shared" si="24"/>
        <v>0</v>
      </c>
      <c r="J27" s="16">
        <f t="shared" si="24"/>
        <v>0</v>
      </c>
      <c r="K27" s="16">
        <f t="shared" si="24"/>
        <v>6513.5</v>
      </c>
      <c r="M27" s="16">
        <f t="shared" ref="M27:P27" si="25">M64+M68+M69+M82</f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S27" s="16"/>
      <c r="T27" s="16">
        <f>T64+T68+T69+T82</f>
        <v>0</v>
      </c>
      <c r="V27" s="16">
        <f t="shared" ref="V27:Y27" si="26">V64+V68+V69+V82</f>
        <v>0</v>
      </c>
      <c r="W27" s="16">
        <f t="shared" si="26"/>
        <v>0</v>
      </c>
      <c r="X27" s="16">
        <f t="shared" si="26"/>
        <v>0</v>
      </c>
      <c r="Y27" s="16">
        <f t="shared" si="26"/>
        <v>8050.4000000000005</v>
      </c>
      <c r="AA27" s="16">
        <f t="shared" ref="AA27:AD27" si="27">AA64+AA68+AA69+AA82</f>
        <v>0</v>
      </c>
      <c r="AB27" s="16">
        <f t="shared" ref="AB27" si="28">AB64+AB68+AB69+AB82</f>
        <v>0</v>
      </c>
      <c r="AC27" s="16">
        <f t="shared" si="27"/>
        <v>0</v>
      </c>
      <c r="AD27" s="16">
        <f t="shared" si="27"/>
        <v>7044.0999999999995</v>
      </c>
      <c r="AH27" s="59" t="str">
        <f t="shared" ref="AH27:AH39" si="29">B27</f>
        <v>Mix and Bake</v>
      </c>
      <c r="AI27" s="1">
        <f t="shared" ref="AI27:AI39" si="30">K27</f>
        <v>6513.5</v>
      </c>
      <c r="AJ27" s="1">
        <f t="shared" ref="AJ27:AJ39" si="31">P27</f>
        <v>0</v>
      </c>
      <c r="AK27" s="1">
        <f t="shared" ref="AK27:AK39" si="32">T27</f>
        <v>0</v>
      </c>
      <c r="AL27" s="1">
        <f>Y27</f>
        <v>8050.4000000000005</v>
      </c>
      <c r="AM27" s="1">
        <f>AD27</f>
        <v>7044.0999999999995</v>
      </c>
      <c r="AN27" s="1">
        <f>SUM(AI27:AM27)</f>
        <v>21608</v>
      </c>
      <c r="AP27" s="7">
        <f>AI27/0.78</f>
        <v>8350.6410256410254</v>
      </c>
      <c r="AQ27" s="7">
        <f>AJ27/0.78</f>
        <v>0</v>
      </c>
      <c r="AR27" s="7">
        <f>AK27/0.78</f>
        <v>0</v>
      </c>
      <c r="AS27" s="7">
        <f>AL27/0.78</f>
        <v>10321.025641025641</v>
      </c>
      <c r="AT27" s="7">
        <f>AM27/0.78</f>
        <v>9030.8974358974356</v>
      </c>
      <c r="AU27" s="7">
        <f>SUM(AP27:AT27)</f>
        <v>27702.564102564102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2087.6602564102564</v>
      </c>
      <c r="BD27" s="7">
        <f>AX27*AQ27</f>
        <v>0</v>
      </c>
      <c r="BE27" s="7">
        <f>AY27*AR27</f>
        <v>0</v>
      </c>
      <c r="BF27" s="7">
        <f>AZ27*AS27</f>
        <v>2580.2564102564102</v>
      </c>
      <c r="BG27" s="7">
        <f>BA27*AT27</f>
        <v>2257.7243589743589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6262.9807692307695</v>
      </c>
      <c r="BP27" s="7">
        <f>BJ27*AQ27</f>
        <v>0</v>
      </c>
      <c r="BQ27" s="7">
        <f>BK27*AR27</f>
        <v>0</v>
      </c>
      <c r="BR27" s="7">
        <f>BL27*AS27</f>
        <v>7740.7692307692305</v>
      </c>
      <c r="BS27" s="7">
        <f>BM27*AT27</f>
        <v>6773.1730769230762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33">F63</f>
        <v>0</v>
      </c>
      <c r="G28" s="16">
        <f t="shared" si="33"/>
        <v>0</v>
      </c>
      <c r="H28" s="16">
        <f t="shared" si="33"/>
        <v>0</v>
      </c>
      <c r="I28" s="16">
        <f t="shared" si="33"/>
        <v>0</v>
      </c>
      <c r="J28" s="16">
        <f t="shared" si="33"/>
        <v>0</v>
      </c>
      <c r="K28" s="16">
        <f t="shared" si="33"/>
        <v>0</v>
      </c>
      <c r="M28" s="16">
        <f t="shared" ref="M28:P28" si="34">M63</f>
        <v>0</v>
      </c>
      <c r="N28" s="16">
        <f t="shared" si="34"/>
        <v>0</v>
      </c>
      <c r="O28" s="16">
        <f t="shared" si="34"/>
        <v>0</v>
      </c>
      <c r="P28" s="16">
        <f t="shared" si="34"/>
        <v>0</v>
      </c>
      <c r="S28" s="16"/>
      <c r="T28" s="16">
        <f>T63</f>
        <v>0</v>
      </c>
      <c r="V28" s="16">
        <f t="shared" ref="V28:Y28" si="35">V63</f>
        <v>0</v>
      </c>
      <c r="W28" s="16">
        <f t="shared" si="35"/>
        <v>0</v>
      </c>
      <c r="X28" s="16">
        <f t="shared" si="35"/>
        <v>0</v>
      </c>
      <c r="Y28" s="16">
        <f t="shared" si="35"/>
        <v>5950</v>
      </c>
      <c r="AA28" s="16">
        <f t="shared" ref="AA28:AD28" si="36">AA63</f>
        <v>0</v>
      </c>
      <c r="AB28" s="16">
        <f t="shared" ref="AB28" si="37">AB63</f>
        <v>0</v>
      </c>
      <c r="AC28" s="16">
        <f t="shared" si="36"/>
        <v>0</v>
      </c>
      <c r="AD28" s="16">
        <f t="shared" si="36"/>
        <v>1050</v>
      </c>
      <c r="AH28" s="59" t="str">
        <f t="shared" si="29"/>
        <v>Mix and Bake [SE]</v>
      </c>
      <c r="AI28" s="1">
        <f t="shared" si="30"/>
        <v>0</v>
      </c>
      <c r="AJ28" s="1">
        <f t="shared" si="31"/>
        <v>0</v>
      </c>
      <c r="AK28" s="1">
        <f t="shared" si="32"/>
        <v>0</v>
      </c>
      <c r="AL28" s="1">
        <f t="shared" ref="AL28:AL39" si="38">Y28</f>
        <v>5950</v>
      </c>
      <c r="AM28" s="1">
        <f t="shared" ref="AM28:AM39" si="39">AD28</f>
        <v>1050</v>
      </c>
      <c r="AN28" s="1">
        <f t="shared" ref="AN28:AN39" si="40">SUM(AI28:AM28)</f>
        <v>7000</v>
      </c>
      <c r="AP28" s="7">
        <f t="shared" ref="AP28:AP39" si="41">AI28/0.78</f>
        <v>0</v>
      </c>
      <c r="AQ28" s="7">
        <f t="shared" ref="AQ28:AQ39" si="42">AJ28/0.78</f>
        <v>0</v>
      </c>
      <c r="AR28" s="7">
        <f t="shared" ref="AR28:AR39" si="43">AK28/0.78</f>
        <v>0</v>
      </c>
      <c r="AS28" s="7">
        <f t="shared" ref="AS28:AS39" si="44">AL28/0.78</f>
        <v>7628.2051282051279</v>
      </c>
      <c r="AT28" s="7">
        <f t="shared" ref="AT28:AT39" si="45">AM28/0.78</f>
        <v>1346.1538461538462</v>
      </c>
      <c r="AU28" s="7">
        <f t="shared" ref="AU28:AU39" si="46">SUM(AP28:AT28)</f>
        <v>8974.3589743589746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C31" si="47">AW28*AP28</f>
        <v>0</v>
      </c>
      <c r="BD28" s="7">
        <f t="shared" ref="BD28:BD31" si="48">AX28*AQ28</f>
        <v>0</v>
      </c>
      <c r="BE28" s="7">
        <f t="shared" ref="BE28:BE31" si="49">AY28*AR28</f>
        <v>0</v>
      </c>
      <c r="BF28" s="7">
        <f t="shared" ref="BF28:BF31" si="50">AZ28*AS28</f>
        <v>2288.4615384615381</v>
      </c>
      <c r="BG28" s="7">
        <f t="shared" ref="BG28:BG31" si="51">BA28*AT28</f>
        <v>403.84615384615387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" si="52">BJ28*AQ28</f>
        <v>0</v>
      </c>
      <c r="BQ28" s="7">
        <f t="shared" ref="BQ28" si="53">BK28*AR28</f>
        <v>0</v>
      </c>
      <c r="BR28" s="7">
        <f t="shared" ref="BR28" si="54">BL28*AS28</f>
        <v>5339.7435897435889</v>
      </c>
      <c r="BS28" s="7">
        <f t="shared" ref="BS28" si="55">BM28*AT28</f>
        <v>942.30769230769226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" si="56">BV28*AQ28</f>
        <v>0</v>
      </c>
      <c r="CC28" s="7">
        <f t="shared" ref="CC28" si="57">BW28*AR28</f>
        <v>0</v>
      </c>
      <c r="CD28" s="7">
        <f t="shared" ref="CD28" si="58">BX28*AS28</f>
        <v>0</v>
      </c>
      <c r="CE28" s="7">
        <f t="shared" ref="CE28" si="59">BY28*AT28</f>
        <v>0</v>
      </c>
    </row>
    <row r="29" spans="2:83" x14ac:dyDescent="0.25">
      <c r="B29" s="16" t="s">
        <v>87</v>
      </c>
      <c r="C29" s="16">
        <f>C53+C92</f>
        <v>18314</v>
      </c>
      <c r="D29" s="16">
        <f>D53+D92</f>
        <v>18314</v>
      </c>
      <c r="F29" s="16">
        <f t="shared" ref="F29:J29" si="60">F53</f>
        <v>0</v>
      </c>
      <c r="G29" s="16">
        <f t="shared" si="60"/>
        <v>0</v>
      </c>
      <c r="H29" s="16">
        <f t="shared" si="60"/>
        <v>0</v>
      </c>
      <c r="I29" s="16">
        <f t="shared" si="60"/>
        <v>0</v>
      </c>
      <c r="J29" s="16">
        <f t="shared" si="60"/>
        <v>0</v>
      </c>
      <c r="K29" s="16">
        <f>K53+K92</f>
        <v>8607.58</v>
      </c>
      <c r="M29" s="16">
        <f t="shared" ref="M29:O29" si="61">M53</f>
        <v>0</v>
      </c>
      <c r="N29" s="16">
        <f t="shared" si="61"/>
        <v>0</v>
      </c>
      <c r="O29" s="16">
        <f t="shared" si="61"/>
        <v>0</v>
      </c>
      <c r="P29" s="16">
        <f>P53+P92</f>
        <v>8607.58</v>
      </c>
      <c r="S29" s="16">
        <f>S53+S92</f>
        <v>0</v>
      </c>
      <c r="T29" s="16">
        <f>T53+T92</f>
        <v>0</v>
      </c>
      <c r="V29" s="16">
        <f t="shared" ref="V29:X29" si="62">V53</f>
        <v>0</v>
      </c>
      <c r="W29" s="16">
        <f t="shared" si="62"/>
        <v>0</v>
      </c>
      <c r="X29" s="16">
        <f t="shared" si="62"/>
        <v>0</v>
      </c>
      <c r="Y29" s="16">
        <f>Y53+Y92</f>
        <v>1098.8399999999999</v>
      </c>
      <c r="AA29" s="16">
        <f t="shared" ref="AA29:AC29" si="63">AA53</f>
        <v>0</v>
      </c>
      <c r="AB29" s="16">
        <f t="shared" si="63"/>
        <v>0</v>
      </c>
      <c r="AC29" s="16">
        <f t="shared" si="63"/>
        <v>0</v>
      </c>
      <c r="AD29" s="16">
        <f>AD53+AD92</f>
        <v>0</v>
      </c>
      <c r="AH29" s="59" t="str">
        <f t="shared" si="29"/>
        <v>MGF</v>
      </c>
      <c r="AI29" s="1">
        <f t="shared" si="30"/>
        <v>8607.58</v>
      </c>
      <c r="AJ29" s="1">
        <f t="shared" si="31"/>
        <v>8607.58</v>
      </c>
      <c r="AK29" s="1">
        <f t="shared" si="32"/>
        <v>0</v>
      </c>
      <c r="AL29" s="1">
        <f t="shared" si="38"/>
        <v>1098.8399999999999</v>
      </c>
      <c r="AM29" s="1">
        <f t="shared" si="39"/>
        <v>0</v>
      </c>
      <c r="AN29" s="1">
        <f t="shared" si="40"/>
        <v>18314</v>
      </c>
      <c r="AP29" s="7">
        <f t="shared" si="41"/>
        <v>11035.358974358975</v>
      </c>
      <c r="AQ29" s="7">
        <f t="shared" si="42"/>
        <v>11035.358974358975</v>
      </c>
      <c r="AR29" s="7">
        <f t="shared" si="43"/>
        <v>0</v>
      </c>
      <c r="AS29" s="7">
        <f t="shared" si="44"/>
        <v>1408.7692307692307</v>
      </c>
      <c r="AT29" s="7">
        <f t="shared" si="45"/>
        <v>0</v>
      </c>
      <c r="AU29" s="7">
        <f t="shared" si="46"/>
        <v>23479.48717948718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47"/>
        <v>6621.2153846153842</v>
      </c>
      <c r="BD29" s="7">
        <f t="shared" si="48"/>
        <v>6621.2153846153842</v>
      </c>
      <c r="BE29" s="7">
        <f t="shared" si="49"/>
        <v>0</v>
      </c>
      <c r="BF29" s="7">
        <f t="shared" si="50"/>
        <v>845.26153846153841</v>
      </c>
      <c r="BG29" s="7">
        <f t="shared" si="51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64">BI29*AP29</f>
        <v>4414.1435897435904</v>
      </c>
      <c r="BP29" s="7">
        <f t="shared" ref="BP29:BP39" si="65">BJ29*AQ29</f>
        <v>4414.1435897435904</v>
      </c>
      <c r="BQ29" s="7">
        <f t="shared" ref="BQ29:BQ39" si="66">BK29*AR29</f>
        <v>0</v>
      </c>
      <c r="BR29" s="7">
        <f t="shared" ref="BR29:BR39" si="67">BL29*AS29</f>
        <v>563.50769230769231</v>
      </c>
      <c r="BS29" s="7">
        <f t="shared" ref="BS29:BS39" si="68">BM29*AT29</f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69">BU29*AP29</f>
        <v>0</v>
      </c>
      <c r="CB29" s="7">
        <f t="shared" ref="CB29:CB39" si="70">BV29*AQ29</f>
        <v>0</v>
      </c>
      <c r="CC29" s="7">
        <f t="shared" ref="CC29:CC39" si="71">BW29*AR29</f>
        <v>0</v>
      </c>
      <c r="CD29" s="7">
        <f t="shared" ref="CD29:CD39" si="72">BX29*AS29</f>
        <v>0</v>
      </c>
      <c r="CE29" s="7">
        <f t="shared" ref="CE29:CE39" si="73">BY29*AT29</f>
        <v>0</v>
      </c>
    </row>
    <row r="30" spans="2:83" x14ac:dyDescent="0.25">
      <c r="B30" s="16" t="s">
        <v>88</v>
      </c>
      <c r="C30" s="16">
        <f>C54</f>
        <v>6000</v>
      </c>
      <c r="D30" s="16">
        <f>D54</f>
        <v>6000</v>
      </c>
      <c r="F30" s="16">
        <f t="shared" ref="F30:K30" si="74">F54</f>
        <v>0</v>
      </c>
      <c r="G30" s="16">
        <f t="shared" si="74"/>
        <v>0</v>
      </c>
      <c r="H30" s="16">
        <f t="shared" si="74"/>
        <v>0</v>
      </c>
      <c r="I30" s="16">
        <f t="shared" si="74"/>
        <v>0</v>
      </c>
      <c r="J30" s="16">
        <f t="shared" si="74"/>
        <v>0</v>
      </c>
      <c r="K30" s="16">
        <f t="shared" si="74"/>
        <v>2400</v>
      </c>
      <c r="M30" s="16">
        <f t="shared" ref="M30:P30" si="75">M54</f>
        <v>0</v>
      </c>
      <c r="N30" s="16">
        <f t="shared" si="75"/>
        <v>0</v>
      </c>
      <c r="O30" s="16">
        <f t="shared" si="75"/>
        <v>0</v>
      </c>
      <c r="P30" s="16">
        <f t="shared" si="75"/>
        <v>3600</v>
      </c>
      <c r="S30" s="16"/>
      <c r="T30" s="16">
        <f>T54</f>
        <v>0</v>
      </c>
      <c r="V30" s="16">
        <f t="shared" ref="V30:Y30" si="76">V54</f>
        <v>0</v>
      </c>
      <c r="W30" s="16">
        <f t="shared" si="76"/>
        <v>0</v>
      </c>
      <c r="X30" s="16">
        <f t="shared" si="76"/>
        <v>0</v>
      </c>
      <c r="Y30" s="16">
        <f t="shared" si="76"/>
        <v>0</v>
      </c>
      <c r="AA30" s="16">
        <f t="shared" ref="AA30:AD30" si="77">AA54</f>
        <v>0</v>
      </c>
      <c r="AB30" s="16">
        <f t="shared" ref="AB30" si="78">AB54</f>
        <v>0</v>
      </c>
      <c r="AC30" s="16">
        <f t="shared" si="77"/>
        <v>0</v>
      </c>
      <c r="AD30" s="16">
        <f t="shared" si="77"/>
        <v>0</v>
      </c>
      <c r="AH30" s="59" t="str">
        <f t="shared" si="29"/>
        <v>Bakewell</v>
      </c>
      <c r="AI30" s="1">
        <f t="shared" si="30"/>
        <v>2400</v>
      </c>
      <c r="AJ30" s="1">
        <f t="shared" si="31"/>
        <v>3600</v>
      </c>
      <c r="AK30" s="1">
        <f t="shared" si="32"/>
        <v>0</v>
      </c>
      <c r="AL30" s="1">
        <f t="shared" si="38"/>
        <v>0</v>
      </c>
      <c r="AM30" s="1">
        <f t="shared" si="39"/>
        <v>0</v>
      </c>
      <c r="AN30" s="1">
        <f t="shared" si="40"/>
        <v>6000</v>
      </c>
      <c r="AP30" s="7">
        <f t="shared" si="41"/>
        <v>3076.9230769230767</v>
      </c>
      <c r="AQ30" s="7">
        <f t="shared" si="42"/>
        <v>4615.3846153846152</v>
      </c>
      <c r="AR30" s="7">
        <f t="shared" si="43"/>
        <v>0</v>
      </c>
      <c r="AS30" s="7">
        <f t="shared" si="44"/>
        <v>0</v>
      </c>
      <c r="AT30" s="7">
        <f t="shared" si="45"/>
        <v>0</v>
      </c>
      <c r="AU30" s="7">
        <f t="shared" si="46"/>
        <v>7692.3076923076915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47"/>
        <v>307.69230769230768</v>
      </c>
      <c r="BD30" s="7">
        <f t="shared" si="48"/>
        <v>461.53846153846155</v>
      </c>
      <c r="BE30" s="7">
        <f t="shared" si="49"/>
        <v>0</v>
      </c>
      <c r="BF30" s="7">
        <f t="shared" si="50"/>
        <v>0</v>
      </c>
      <c r="BG30" s="7">
        <f t="shared" si="51"/>
        <v>0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64"/>
        <v>2769.2307692307691</v>
      </c>
      <c r="BP30" s="7">
        <f t="shared" si="65"/>
        <v>4153.8461538461543</v>
      </c>
      <c r="BQ30" s="7">
        <f t="shared" si="66"/>
        <v>0</v>
      </c>
      <c r="BR30" s="7">
        <f t="shared" si="67"/>
        <v>0</v>
      </c>
      <c r="BS30" s="7">
        <f t="shared" si="68"/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69"/>
        <v>0</v>
      </c>
      <c r="CB30" s="7">
        <f t="shared" si="70"/>
        <v>0</v>
      </c>
      <c r="CC30" s="7">
        <f t="shared" si="71"/>
        <v>0</v>
      </c>
      <c r="CD30" s="7">
        <f t="shared" si="72"/>
        <v>0</v>
      </c>
      <c r="CE30" s="7">
        <f t="shared" si="73"/>
        <v>0</v>
      </c>
    </row>
    <row r="31" spans="2:83" x14ac:dyDescent="0.25">
      <c r="B31" s="16" t="s">
        <v>116</v>
      </c>
      <c r="C31" s="16">
        <f>C65</f>
        <v>13172</v>
      </c>
      <c r="D31" s="16">
        <f>D65</f>
        <v>13171.999999999998</v>
      </c>
      <c r="F31" s="16">
        <f t="shared" ref="F31:K31" si="79">F65</f>
        <v>0</v>
      </c>
      <c r="G31" s="16">
        <f t="shared" si="79"/>
        <v>0</v>
      </c>
      <c r="H31" s="16">
        <f t="shared" si="79"/>
        <v>0</v>
      </c>
      <c r="I31" s="16">
        <f t="shared" si="79"/>
        <v>0</v>
      </c>
      <c r="J31" s="16">
        <f t="shared" si="79"/>
        <v>0</v>
      </c>
      <c r="K31" s="16">
        <f t="shared" si="79"/>
        <v>0</v>
      </c>
      <c r="M31" s="16">
        <f t="shared" ref="M31:P31" si="80">M65</f>
        <v>0</v>
      </c>
      <c r="N31" s="16">
        <f t="shared" si="80"/>
        <v>0</v>
      </c>
      <c r="O31" s="16">
        <f t="shared" si="80"/>
        <v>0</v>
      </c>
      <c r="P31" s="16">
        <f t="shared" si="80"/>
        <v>11196.199999999999</v>
      </c>
      <c r="S31" s="16"/>
      <c r="T31" s="16">
        <f>T65</f>
        <v>0</v>
      </c>
      <c r="V31" s="16">
        <f t="shared" ref="V31:Y31" si="81">V65</f>
        <v>0</v>
      </c>
      <c r="W31" s="16">
        <f t="shared" si="81"/>
        <v>0</v>
      </c>
      <c r="X31" s="16">
        <f t="shared" si="81"/>
        <v>0</v>
      </c>
      <c r="Y31" s="16">
        <f t="shared" si="81"/>
        <v>0</v>
      </c>
      <c r="AA31" s="16">
        <f t="shared" ref="AA31:AD31" si="82">AA65</f>
        <v>0</v>
      </c>
      <c r="AB31" s="16">
        <f t="shared" ref="AB31" si="83">AB65</f>
        <v>0</v>
      </c>
      <c r="AC31" s="16">
        <f t="shared" si="82"/>
        <v>0</v>
      </c>
      <c r="AD31" s="16">
        <f t="shared" si="82"/>
        <v>1975.8</v>
      </c>
      <c r="AH31" s="59" t="str">
        <f t="shared" si="29"/>
        <v>Bua Premium</v>
      </c>
      <c r="AI31" s="1">
        <f t="shared" si="30"/>
        <v>0</v>
      </c>
      <c r="AJ31" s="1">
        <f t="shared" si="31"/>
        <v>11196.199999999999</v>
      </c>
      <c r="AK31" s="1">
        <f t="shared" si="32"/>
        <v>0</v>
      </c>
      <c r="AL31" s="1">
        <f t="shared" si="38"/>
        <v>0</v>
      </c>
      <c r="AM31" s="1">
        <f t="shared" si="39"/>
        <v>1975.8</v>
      </c>
      <c r="AN31" s="1">
        <f t="shared" si="40"/>
        <v>13171.999999999998</v>
      </c>
      <c r="AP31" s="7">
        <f t="shared" si="41"/>
        <v>0</v>
      </c>
      <c r="AQ31" s="7">
        <f t="shared" si="42"/>
        <v>14354.102564102563</v>
      </c>
      <c r="AR31" s="7">
        <f t="shared" si="43"/>
        <v>0</v>
      </c>
      <c r="AS31" s="7">
        <f t="shared" si="44"/>
        <v>0</v>
      </c>
      <c r="AT31" s="7">
        <f t="shared" si="45"/>
        <v>2533.0769230769229</v>
      </c>
      <c r="AU31" s="7">
        <f t="shared" si="46"/>
        <v>16887.179487179485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47"/>
        <v>0</v>
      </c>
      <c r="BD31" s="7">
        <f t="shared" si="48"/>
        <v>0</v>
      </c>
      <c r="BE31" s="7">
        <f t="shared" si="49"/>
        <v>0</v>
      </c>
      <c r="BF31" s="7">
        <f t="shared" si="50"/>
        <v>0</v>
      </c>
      <c r="BG31" s="7">
        <f t="shared" si="51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64"/>
        <v>0</v>
      </c>
      <c r="BP31" s="7">
        <f t="shared" si="65"/>
        <v>14354.102564102563</v>
      </c>
      <c r="BQ31" s="7">
        <f t="shared" si="66"/>
        <v>0</v>
      </c>
      <c r="BR31" s="7">
        <f t="shared" si="67"/>
        <v>0</v>
      </c>
      <c r="BS31" s="7">
        <f t="shared" si="68"/>
        <v>2533.0769230769229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69"/>
        <v>0</v>
      </c>
      <c r="CB31" s="7">
        <f t="shared" si="70"/>
        <v>0</v>
      </c>
      <c r="CC31" s="7">
        <f t="shared" si="71"/>
        <v>0</v>
      </c>
      <c r="CD31" s="7">
        <f t="shared" si="72"/>
        <v>0</v>
      </c>
      <c r="CE31" s="7">
        <f t="shared" si="73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84">F46+F67</f>
        <v>0</v>
      </c>
      <c r="G32" s="16">
        <f t="shared" si="84"/>
        <v>0</v>
      </c>
      <c r="H32" s="16">
        <f t="shared" si="84"/>
        <v>0</v>
      </c>
      <c r="I32" s="16">
        <f t="shared" si="84"/>
        <v>0</v>
      </c>
      <c r="J32" s="16">
        <f t="shared" si="84"/>
        <v>0</v>
      </c>
      <c r="K32" s="16">
        <f t="shared" si="84"/>
        <v>3750</v>
      </c>
      <c r="M32" s="16">
        <f t="shared" ref="M32:P32" si="85">M46+M67</f>
        <v>0</v>
      </c>
      <c r="N32" s="16">
        <f t="shared" si="85"/>
        <v>0</v>
      </c>
      <c r="O32" s="16">
        <f t="shared" si="85"/>
        <v>0</v>
      </c>
      <c r="P32" s="16">
        <f t="shared" si="85"/>
        <v>0</v>
      </c>
      <c r="S32" s="16"/>
      <c r="T32" s="16">
        <f>T46+T67</f>
        <v>0</v>
      </c>
      <c r="V32" s="16">
        <f t="shared" ref="V32:Y32" si="86">V46+V67</f>
        <v>0</v>
      </c>
      <c r="W32" s="16">
        <f t="shared" si="86"/>
        <v>0</v>
      </c>
      <c r="X32" s="16">
        <f t="shared" si="86"/>
        <v>0</v>
      </c>
      <c r="Y32" s="16">
        <f t="shared" si="86"/>
        <v>0</v>
      </c>
      <c r="AA32" s="16">
        <f t="shared" ref="AA32:AD32" si="87">AA46+AA67</f>
        <v>0</v>
      </c>
      <c r="AB32" s="16">
        <f t="shared" ref="AB32" si="88">AB46+AB67</f>
        <v>0</v>
      </c>
      <c r="AC32" s="16">
        <f t="shared" si="87"/>
        <v>0</v>
      </c>
      <c r="AD32" s="16">
        <f t="shared" si="87"/>
        <v>0</v>
      </c>
      <c r="AH32" s="59" t="str">
        <f t="shared" si="29"/>
        <v>Biscuit Flour</v>
      </c>
      <c r="AI32" s="1">
        <f t="shared" si="30"/>
        <v>3750</v>
      </c>
      <c r="AJ32" s="1">
        <f t="shared" si="31"/>
        <v>0</v>
      </c>
      <c r="AK32" s="1">
        <f t="shared" si="32"/>
        <v>0</v>
      </c>
      <c r="AL32" s="1">
        <f t="shared" si="38"/>
        <v>0</v>
      </c>
      <c r="AM32" s="1">
        <f t="shared" si="39"/>
        <v>0</v>
      </c>
      <c r="AN32" s="1">
        <f t="shared" si="40"/>
        <v>3750</v>
      </c>
      <c r="AP32" s="7">
        <f t="shared" si="41"/>
        <v>4807.6923076923076</v>
      </c>
      <c r="AQ32" s="7">
        <f t="shared" si="42"/>
        <v>0</v>
      </c>
      <c r="AR32" s="7">
        <f t="shared" si="43"/>
        <v>0</v>
      </c>
      <c r="AS32" s="7">
        <f t="shared" si="44"/>
        <v>0</v>
      </c>
      <c r="AT32" s="7">
        <f t="shared" si="45"/>
        <v>0</v>
      </c>
      <c r="AU32" s="7">
        <f t="shared" si="46"/>
        <v>4807.6923076923076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ref="BC32:BG39" si="89">AW32*AP32</f>
        <v>0</v>
      </c>
      <c r="BD32" s="7">
        <f t="shared" si="89"/>
        <v>0</v>
      </c>
      <c r="BE32" s="7">
        <f t="shared" si="89"/>
        <v>0</v>
      </c>
      <c r="BF32" s="7">
        <f t="shared" si="89"/>
        <v>0</v>
      </c>
      <c r="BG32" s="7">
        <f t="shared" si="89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64"/>
        <v>480.76923076923077</v>
      </c>
      <c r="BP32" s="7">
        <f t="shared" si="65"/>
        <v>0</v>
      </c>
      <c r="BQ32" s="7">
        <f t="shared" si="66"/>
        <v>0</v>
      </c>
      <c r="BR32" s="7">
        <f t="shared" si="67"/>
        <v>0</v>
      </c>
      <c r="BS32" s="7">
        <f t="shared" si="68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69"/>
        <v>4326.9230769230771</v>
      </c>
      <c r="CB32" s="7">
        <f t="shared" si="70"/>
        <v>0</v>
      </c>
      <c r="CC32" s="7">
        <f t="shared" si="71"/>
        <v>0</v>
      </c>
      <c r="CD32" s="7">
        <f t="shared" si="72"/>
        <v>0</v>
      </c>
      <c r="CE32" s="7">
        <f t="shared" si="73"/>
        <v>0</v>
      </c>
    </row>
    <row r="33" spans="1:83" x14ac:dyDescent="0.25">
      <c r="B33" s="16" t="s">
        <v>117</v>
      </c>
      <c r="C33" s="16">
        <f>C47+C70</f>
        <v>2000</v>
      </c>
      <c r="D33" s="16">
        <f>D47+D70</f>
        <v>2000</v>
      </c>
      <c r="F33" s="16">
        <f t="shared" ref="F33:K33" si="90">F47+F70</f>
        <v>0</v>
      </c>
      <c r="G33" s="16">
        <f t="shared" si="90"/>
        <v>0</v>
      </c>
      <c r="H33" s="16">
        <f t="shared" si="90"/>
        <v>0</v>
      </c>
      <c r="I33" s="16">
        <f t="shared" si="90"/>
        <v>0</v>
      </c>
      <c r="J33" s="16">
        <f t="shared" si="90"/>
        <v>0</v>
      </c>
      <c r="K33" s="16">
        <f t="shared" si="90"/>
        <v>0</v>
      </c>
      <c r="M33" s="16">
        <f t="shared" ref="M33:P33" si="91">M47+M70</f>
        <v>0</v>
      </c>
      <c r="N33" s="16">
        <f t="shared" si="91"/>
        <v>0</v>
      </c>
      <c r="O33" s="16">
        <f t="shared" si="91"/>
        <v>0</v>
      </c>
      <c r="P33" s="16">
        <f t="shared" si="91"/>
        <v>1600</v>
      </c>
      <c r="S33" s="16"/>
      <c r="T33" s="16">
        <f>T47+T70</f>
        <v>0</v>
      </c>
      <c r="V33" s="16">
        <f t="shared" ref="V33:Y33" si="92">V47+V70</f>
        <v>0</v>
      </c>
      <c r="W33" s="16">
        <f t="shared" si="92"/>
        <v>0</v>
      </c>
      <c r="X33" s="16">
        <f t="shared" si="92"/>
        <v>0</v>
      </c>
      <c r="Y33" s="16">
        <f t="shared" si="92"/>
        <v>0</v>
      </c>
      <c r="AA33" s="16">
        <f t="shared" ref="AA33:AD33" si="93">AA47+AA70</f>
        <v>0</v>
      </c>
      <c r="AB33" s="16">
        <f t="shared" ref="AB33" si="94">AB47+AB70</f>
        <v>0</v>
      </c>
      <c r="AC33" s="16">
        <f t="shared" si="93"/>
        <v>0</v>
      </c>
      <c r="AD33" s="16">
        <f t="shared" si="93"/>
        <v>400</v>
      </c>
      <c r="AH33" s="59" t="str">
        <f t="shared" si="29"/>
        <v>Noodles Flour</v>
      </c>
      <c r="AI33" s="1">
        <f t="shared" si="30"/>
        <v>0</v>
      </c>
      <c r="AJ33" s="1">
        <f t="shared" si="31"/>
        <v>1600</v>
      </c>
      <c r="AK33" s="1">
        <f t="shared" si="32"/>
        <v>0</v>
      </c>
      <c r="AL33" s="1">
        <f t="shared" si="38"/>
        <v>0</v>
      </c>
      <c r="AM33" s="1">
        <f t="shared" si="39"/>
        <v>400</v>
      </c>
      <c r="AN33" s="1">
        <f t="shared" si="40"/>
        <v>2000</v>
      </c>
      <c r="AP33" s="7">
        <f t="shared" si="41"/>
        <v>0</v>
      </c>
      <c r="AQ33" s="7">
        <f t="shared" si="42"/>
        <v>2051.2820512820513</v>
      </c>
      <c r="AR33" s="7">
        <f t="shared" si="43"/>
        <v>0</v>
      </c>
      <c r="AS33" s="7">
        <f t="shared" si="44"/>
        <v>0</v>
      </c>
      <c r="AT33" s="7">
        <f t="shared" si="45"/>
        <v>512.82051282051282</v>
      </c>
      <c r="AU33" s="7">
        <f t="shared" si="46"/>
        <v>2564.102564102564</v>
      </c>
      <c r="AW33" s="46">
        <v>0.2</v>
      </c>
      <c r="AX33" s="46">
        <v>0.2</v>
      </c>
      <c r="AY33" s="46">
        <v>0.2</v>
      </c>
      <c r="AZ33" s="46">
        <v>0.2</v>
      </c>
      <c r="BA33" s="46">
        <v>0.2</v>
      </c>
      <c r="BC33" s="7">
        <f t="shared" si="89"/>
        <v>0</v>
      </c>
      <c r="BD33" s="7">
        <f t="shared" si="89"/>
        <v>410.25641025641028</v>
      </c>
      <c r="BE33" s="7">
        <f t="shared" si="89"/>
        <v>0</v>
      </c>
      <c r="BF33" s="7">
        <f t="shared" si="89"/>
        <v>0</v>
      </c>
      <c r="BG33" s="7">
        <f t="shared" si="89"/>
        <v>102.56410256410257</v>
      </c>
      <c r="BI33" s="46">
        <v>0.8</v>
      </c>
      <c r="BJ33" s="46">
        <v>0.8</v>
      </c>
      <c r="BK33" s="46">
        <v>0.8</v>
      </c>
      <c r="BL33" s="46">
        <v>0.8</v>
      </c>
      <c r="BM33" s="46">
        <v>0.8</v>
      </c>
      <c r="BO33" s="7">
        <f t="shared" si="64"/>
        <v>0</v>
      </c>
      <c r="BP33" s="7">
        <f t="shared" si="65"/>
        <v>1641.0256410256411</v>
      </c>
      <c r="BQ33" s="7">
        <f t="shared" si="66"/>
        <v>0</v>
      </c>
      <c r="BR33" s="7">
        <f t="shared" si="67"/>
        <v>0</v>
      </c>
      <c r="BS33" s="7">
        <f t="shared" si="68"/>
        <v>410.25641025641028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69"/>
        <v>0</v>
      </c>
      <c r="CB33" s="7">
        <f t="shared" si="70"/>
        <v>0</v>
      </c>
      <c r="CC33" s="7">
        <f t="shared" si="71"/>
        <v>0</v>
      </c>
      <c r="CD33" s="7">
        <f t="shared" si="72"/>
        <v>0</v>
      </c>
      <c r="CE33" s="7">
        <f t="shared" si="73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95">F50</f>
        <v>0</v>
      </c>
      <c r="G34" s="16">
        <f t="shared" si="95"/>
        <v>0</v>
      </c>
      <c r="H34" s="16">
        <f t="shared" si="95"/>
        <v>0</v>
      </c>
      <c r="I34" s="16">
        <f t="shared" si="95"/>
        <v>0</v>
      </c>
      <c r="J34" s="16">
        <f t="shared" si="95"/>
        <v>0</v>
      </c>
      <c r="K34" s="16">
        <f t="shared" si="95"/>
        <v>0</v>
      </c>
      <c r="M34" s="16">
        <f t="shared" ref="M34:P34" si="96">M50</f>
        <v>0</v>
      </c>
      <c r="N34" s="16">
        <f t="shared" si="96"/>
        <v>0</v>
      </c>
      <c r="O34" s="16">
        <f t="shared" si="96"/>
        <v>0</v>
      </c>
      <c r="P34" s="16">
        <f t="shared" si="96"/>
        <v>0</v>
      </c>
      <c r="S34" s="16"/>
      <c r="T34" s="16">
        <f>T50</f>
        <v>0</v>
      </c>
      <c r="V34" s="16">
        <f t="shared" ref="V34:Y34" si="97">V50</f>
        <v>0</v>
      </c>
      <c r="W34" s="16">
        <f t="shared" si="97"/>
        <v>0</v>
      </c>
      <c r="X34" s="16">
        <f t="shared" si="97"/>
        <v>0</v>
      </c>
      <c r="Y34" s="16">
        <f t="shared" si="97"/>
        <v>500</v>
      </c>
      <c r="AA34" s="16">
        <f t="shared" ref="AA34:AD34" si="98">AA50</f>
        <v>0</v>
      </c>
      <c r="AB34" s="16">
        <f t="shared" ref="AB34" si="99">AB50</f>
        <v>0</v>
      </c>
      <c r="AC34" s="16">
        <f t="shared" si="98"/>
        <v>0</v>
      </c>
      <c r="AD34" s="16">
        <f t="shared" si="98"/>
        <v>0</v>
      </c>
      <c r="AH34" s="59" t="str">
        <f t="shared" si="29"/>
        <v>Mix and Bake Madiga</v>
      </c>
      <c r="AI34" s="1">
        <f t="shared" si="30"/>
        <v>0</v>
      </c>
      <c r="AJ34" s="1">
        <f t="shared" si="31"/>
        <v>0</v>
      </c>
      <c r="AK34" s="1">
        <f t="shared" si="32"/>
        <v>0</v>
      </c>
      <c r="AL34" s="1">
        <f t="shared" si="38"/>
        <v>500</v>
      </c>
      <c r="AM34" s="1">
        <f t="shared" si="39"/>
        <v>0</v>
      </c>
      <c r="AN34" s="1">
        <f t="shared" si="40"/>
        <v>500</v>
      </c>
      <c r="AP34" s="7">
        <f t="shared" si="41"/>
        <v>0</v>
      </c>
      <c r="AQ34" s="7">
        <f t="shared" si="42"/>
        <v>0</v>
      </c>
      <c r="AR34" s="7">
        <f t="shared" si="43"/>
        <v>0</v>
      </c>
      <c r="AS34" s="7">
        <f t="shared" si="44"/>
        <v>641.02564102564099</v>
      </c>
      <c r="AT34" s="7">
        <f t="shared" si="45"/>
        <v>0</v>
      </c>
      <c r="AU34" s="7">
        <f t="shared" si="46"/>
        <v>641.02564102564099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89"/>
        <v>0</v>
      </c>
      <c r="BD34" s="7">
        <f t="shared" si="89"/>
        <v>0</v>
      </c>
      <c r="BE34" s="7">
        <f t="shared" si="89"/>
        <v>0</v>
      </c>
      <c r="BF34" s="7">
        <f t="shared" si="89"/>
        <v>160.25641025641025</v>
      </c>
      <c r="BG34" s="7">
        <f t="shared" si="89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64"/>
        <v>0</v>
      </c>
      <c r="BP34" s="7">
        <f t="shared" si="65"/>
        <v>0</v>
      </c>
      <c r="BQ34" s="7">
        <f t="shared" si="66"/>
        <v>0</v>
      </c>
      <c r="BR34" s="7">
        <f t="shared" si="67"/>
        <v>480.76923076923072</v>
      </c>
      <c r="BS34" s="7">
        <f t="shared" si="68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69"/>
        <v>0</v>
      </c>
      <c r="CB34" s="7">
        <f t="shared" si="70"/>
        <v>0</v>
      </c>
      <c r="CC34" s="7">
        <f t="shared" si="71"/>
        <v>0</v>
      </c>
      <c r="CD34" s="7">
        <f t="shared" si="72"/>
        <v>0</v>
      </c>
      <c r="CE34" s="7">
        <f t="shared" si="73"/>
        <v>0</v>
      </c>
    </row>
    <row r="35" spans="1:83" x14ac:dyDescent="0.25">
      <c r="B35" s="16" t="s">
        <v>91</v>
      </c>
      <c r="C35" s="16">
        <f>C48+C66+C75+C76</f>
        <v>11415</v>
      </c>
      <c r="D35" s="16">
        <f>D48+D66+D75+D76</f>
        <v>11415</v>
      </c>
      <c r="F35" s="16">
        <f t="shared" ref="F35:K35" si="100">F48+F66+F75+F76</f>
        <v>0</v>
      </c>
      <c r="G35" s="16">
        <f t="shared" si="100"/>
        <v>0</v>
      </c>
      <c r="H35" s="16">
        <f t="shared" si="100"/>
        <v>0</v>
      </c>
      <c r="I35" s="16">
        <f t="shared" si="100"/>
        <v>0</v>
      </c>
      <c r="J35" s="16">
        <f t="shared" si="100"/>
        <v>0</v>
      </c>
      <c r="K35" s="16">
        <f t="shared" si="100"/>
        <v>0</v>
      </c>
      <c r="M35" s="16">
        <f t="shared" ref="M35:P35" si="101">M48+M66+M75+M76</f>
        <v>0</v>
      </c>
      <c r="N35" s="16">
        <f t="shared" si="101"/>
        <v>0</v>
      </c>
      <c r="O35" s="16">
        <f t="shared" si="101"/>
        <v>0</v>
      </c>
      <c r="P35" s="16">
        <f t="shared" si="101"/>
        <v>0</v>
      </c>
      <c r="S35" s="16"/>
      <c r="T35" s="16">
        <f>T48+T66+T75+T76</f>
        <v>5590.6500000000005</v>
      </c>
      <c r="V35" s="16">
        <f t="shared" ref="V35:Y35" si="102">V48+V66+V75+V76</f>
        <v>0</v>
      </c>
      <c r="W35" s="16">
        <f t="shared" si="102"/>
        <v>0</v>
      </c>
      <c r="X35" s="16">
        <f t="shared" si="102"/>
        <v>0</v>
      </c>
      <c r="Y35" s="16">
        <f t="shared" si="102"/>
        <v>0</v>
      </c>
      <c r="AA35" s="16">
        <f t="shared" ref="AA35:AD35" si="103">AA48+AA66+AA75+AA76</f>
        <v>0</v>
      </c>
      <c r="AB35" s="16">
        <f t="shared" ref="AB35" si="104">AB48+AB66+AB75+AB76</f>
        <v>0</v>
      </c>
      <c r="AC35" s="16">
        <f t="shared" si="103"/>
        <v>0</v>
      </c>
      <c r="AD35" s="16">
        <f t="shared" si="103"/>
        <v>5824.3499999999995</v>
      </c>
      <c r="AH35" s="59" t="str">
        <f t="shared" si="29"/>
        <v>Spaghetti</v>
      </c>
      <c r="AI35" s="1">
        <f t="shared" si="30"/>
        <v>0</v>
      </c>
      <c r="AJ35" s="1">
        <f t="shared" si="31"/>
        <v>0</v>
      </c>
      <c r="AK35" s="1">
        <f t="shared" si="32"/>
        <v>5590.6500000000005</v>
      </c>
      <c r="AL35" s="1">
        <f t="shared" si="38"/>
        <v>0</v>
      </c>
      <c r="AM35" s="1">
        <f t="shared" si="39"/>
        <v>5824.3499999999995</v>
      </c>
      <c r="AN35" s="1">
        <f t="shared" si="40"/>
        <v>11415</v>
      </c>
      <c r="AP35" s="7">
        <f t="shared" si="41"/>
        <v>0</v>
      </c>
      <c r="AQ35" s="7">
        <f t="shared" si="42"/>
        <v>0</v>
      </c>
      <c r="AR35" s="7">
        <f t="shared" si="43"/>
        <v>7167.5000000000009</v>
      </c>
      <c r="AS35" s="7">
        <f t="shared" si="44"/>
        <v>0</v>
      </c>
      <c r="AT35" s="7">
        <f t="shared" si="45"/>
        <v>7467.1153846153838</v>
      </c>
      <c r="AU35" s="7">
        <f t="shared" si="46"/>
        <v>14634.615384615385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89"/>
        <v>0</v>
      </c>
      <c r="BD35" s="7">
        <f t="shared" si="89"/>
        <v>0</v>
      </c>
      <c r="BE35" s="7">
        <f t="shared" si="89"/>
        <v>0</v>
      </c>
      <c r="BF35" s="7">
        <f t="shared" si="89"/>
        <v>0</v>
      </c>
      <c r="BG35" s="7">
        <f t="shared" si="89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64"/>
        <v>0</v>
      </c>
      <c r="BP35" s="7">
        <f t="shared" si="65"/>
        <v>0</v>
      </c>
      <c r="BQ35" s="7">
        <f t="shared" si="66"/>
        <v>7167.5000000000009</v>
      </c>
      <c r="BR35" s="7">
        <f t="shared" si="67"/>
        <v>0</v>
      </c>
      <c r="BS35" s="7">
        <f t="shared" si="68"/>
        <v>7467.1153846153838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69"/>
        <v>0</v>
      </c>
      <c r="CB35" s="7">
        <f t="shared" si="70"/>
        <v>0</v>
      </c>
      <c r="CC35" s="7">
        <f t="shared" si="71"/>
        <v>0</v>
      </c>
      <c r="CD35" s="7">
        <f t="shared" si="72"/>
        <v>0</v>
      </c>
      <c r="CE35" s="7">
        <f t="shared" si="73"/>
        <v>0</v>
      </c>
    </row>
    <row r="36" spans="1:83" x14ac:dyDescent="0.25">
      <c r="B36" s="16" t="s">
        <v>92</v>
      </c>
      <c r="C36" s="16">
        <f>C49+C51+C52+C83+C88+C84+C85+C86+C87</f>
        <v>2000</v>
      </c>
      <c r="D36" s="16">
        <f>D49+D51+D52+D83+D88+D84+D85+D86+D87</f>
        <v>2000</v>
      </c>
      <c r="F36" s="16">
        <f t="shared" ref="F36:K36" si="105">F49+F51+F52+F83+F88</f>
        <v>0</v>
      </c>
      <c r="G36" s="16">
        <f t="shared" si="105"/>
        <v>0</v>
      </c>
      <c r="H36" s="16">
        <f t="shared" si="105"/>
        <v>0</v>
      </c>
      <c r="I36" s="16">
        <f t="shared" si="105"/>
        <v>0</v>
      </c>
      <c r="J36" s="16">
        <f t="shared" si="105"/>
        <v>0</v>
      </c>
      <c r="K36" s="16">
        <f t="shared" si="105"/>
        <v>0</v>
      </c>
      <c r="M36" s="16">
        <f t="shared" ref="M36:P36" si="106">M49+M51+M52+M83+M88</f>
        <v>0</v>
      </c>
      <c r="N36" s="16">
        <f t="shared" si="106"/>
        <v>0</v>
      </c>
      <c r="O36" s="16">
        <f t="shared" si="106"/>
        <v>0</v>
      </c>
      <c r="P36" s="16">
        <f t="shared" si="106"/>
        <v>0</v>
      </c>
      <c r="S36" s="16"/>
      <c r="T36" s="16">
        <f>T49+T51+T52+T83+T88+T84+T85+T86+T87</f>
        <v>0</v>
      </c>
      <c r="V36" s="16">
        <f t="shared" ref="V36:Y36" si="107">V49+V51+V52+V83+V88</f>
        <v>0</v>
      </c>
      <c r="W36" s="16">
        <f t="shared" si="107"/>
        <v>0</v>
      </c>
      <c r="X36" s="16">
        <f t="shared" si="107"/>
        <v>0</v>
      </c>
      <c r="Y36" s="16">
        <f t="shared" si="107"/>
        <v>0</v>
      </c>
      <c r="AA36" s="16">
        <f t="shared" ref="AA36:AC36" si="108">AA49+AA51+AA52+AA83+AA88+AA84+AA85+AA86+AA87</f>
        <v>0</v>
      </c>
      <c r="AB36" s="16">
        <f t="shared" si="108"/>
        <v>0</v>
      </c>
      <c r="AC36" s="16">
        <f t="shared" si="108"/>
        <v>0</v>
      </c>
      <c r="AD36" s="16">
        <f>AD49+AD51+AD52+AD83+AD88+AD84+AD85+AD86+AD87</f>
        <v>2000</v>
      </c>
      <c r="AH36" s="59" t="str">
        <f t="shared" si="29"/>
        <v>Macroni</v>
      </c>
      <c r="AI36" s="1">
        <f t="shared" si="30"/>
        <v>0</v>
      </c>
      <c r="AJ36" s="1">
        <f t="shared" si="31"/>
        <v>0</v>
      </c>
      <c r="AK36" s="1">
        <f t="shared" si="32"/>
        <v>0</v>
      </c>
      <c r="AL36" s="1">
        <f t="shared" si="38"/>
        <v>0</v>
      </c>
      <c r="AM36" s="1">
        <f t="shared" si="39"/>
        <v>2000</v>
      </c>
      <c r="AN36" s="1">
        <f t="shared" si="40"/>
        <v>2000</v>
      </c>
      <c r="AP36" s="7">
        <f t="shared" si="41"/>
        <v>0</v>
      </c>
      <c r="AQ36" s="7">
        <f t="shared" si="42"/>
        <v>0</v>
      </c>
      <c r="AR36" s="7">
        <f t="shared" si="43"/>
        <v>0</v>
      </c>
      <c r="AS36" s="7">
        <f t="shared" si="44"/>
        <v>0</v>
      </c>
      <c r="AT36" s="7">
        <f t="shared" si="45"/>
        <v>2564.102564102564</v>
      </c>
      <c r="AU36" s="7">
        <f t="shared" si="46"/>
        <v>2564.102564102564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89"/>
        <v>0</v>
      </c>
      <c r="BD36" s="7">
        <f t="shared" si="89"/>
        <v>0</v>
      </c>
      <c r="BE36" s="7">
        <f t="shared" si="89"/>
        <v>0</v>
      </c>
      <c r="BF36" s="7">
        <f t="shared" si="89"/>
        <v>0</v>
      </c>
      <c r="BG36" s="7">
        <f t="shared" si="89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64"/>
        <v>0</v>
      </c>
      <c r="BP36" s="7">
        <f t="shared" si="65"/>
        <v>0</v>
      </c>
      <c r="BQ36" s="7">
        <f t="shared" si="66"/>
        <v>0</v>
      </c>
      <c r="BR36" s="7">
        <f t="shared" si="67"/>
        <v>0</v>
      </c>
      <c r="BS36" s="7">
        <f t="shared" si="68"/>
        <v>2564.102564102564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69"/>
        <v>0</v>
      </c>
      <c r="CB36" s="7">
        <f t="shared" si="70"/>
        <v>0</v>
      </c>
      <c r="CC36" s="7">
        <f t="shared" si="71"/>
        <v>0</v>
      </c>
      <c r="CD36" s="7">
        <f t="shared" si="72"/>
        <v>0</v>
      </c>
      <c r="CE36" s="7">
        <f t="shared" si="73"/>
        <v>0</v>
      </c>
    </row>
    <row r="37" spans="1:83" x14ac:dyDescent="0.25">
      <c r="B37" s="16" t="s">
        <v>93</v>
      </c>
      <c r="C37" s="16">
        <f>C71+C72+C73+C74</f>
        <v>2550</v>
      </c>
      <c r="D37" s="16">
        <f>D71+D72+D73+D74</f>
        <v>2550</v>
      </c>
      <c r="F37" s="16">
        <f t="shared" ref="F37:K37" si="109">F71+F72+F73+F74</f>
        <v>0</v>
      </c>
      <c r="G37" s="16">
        <f t="shared" si="109"/>
        <v>0</v>
      </c>
      <c r="H37" s="16">
        <f t="shared" si="109"/>
        <v>0</v>
      </c>
      <c r="I37" s="16">
        <f t="shared" si="109"/>
        <v>0</v>
      </c>
      <c r="J37" s="16">
        <f t="shared" si="109"/>
        <v>0</v>
      </c>
      <c r="K37" s="16">
        <f t="shared" si="109"/>
        <v>752.5662500000002</v>
      </c>
      <c r="M37" s="16">
        <f t="shared" ref="M37:P37" si="110">M71+M72+M73+M74</f>
        <v>0</v>
      </c>
      <c r="N37" s="16">
        <f t="shared" si="110"/>
        <v>0</v>
      </c>
      <c r="O37" s="16">
        <f t="shared" si="110"/>
        <v>0</v>
      </c>
      <c r="P37" s="16">
        <f t="shared" si="110"/>
        <v>0</v>
      </c>
      <c r="S37" s="16"/>
      <c r="T37" s="16">
        <f>T71+T72+T73+T74</f>
        <v>0</v>
      </c>
      <c r="V37" s="16">
        <f t="shared" ref="V37:X37" si="111">V71+V72+V73+V74</f>
        <v>0</v>
      </c>
      <c r="W37" s="16">
        <f t="shared" si="111"/>
        <v>0</v>
      </c>
      <c r="X37" s="16">
        <f t="shared" si="111"/>
        <v>0</v>
      </c>
      <c r="Y37" s="16">
        <f>Y71+Y72+Y73+Y74</f>
        <v>858.63374999999985</v>
      </c>
      <c r="AA37" s="16">
        <f t="shared" ref="AA37:AD37" si="112">AA71+AA72+AA73+AA74</f>
        <v>0</v>
      </c>
      <c r="AB37" s="16">
        <f t="shared" ref="AB37" si="113">AB71+AB72+AB73+AB74</f>
        <v>0</v>
      </c>
      <c r="AC37" s="16">
        <f t="shared" si="112"/>
        <v>0</v>
      </c>
      <c r="AD37" s="16">
        <f t="shared" si="112"/>
        <v>938.8</v>
      </c>
      <c r="AH37" s="59" t="str">
        <f t="shared" si="29"/>
        <v>Supreme Semolina</v>
      </c>
      <c r="AI37" s="1">
        <f t="shared" si="30"/>
        <v>752.5662500000002</v>
      </c>
      <c r="AJ37" s="1">
        <f t="shared" si="31"/>
        <v>0</v>
      </c>
      <c r="AK37" s="1">
        <f t="shared" si="32"/>
        <v>0</v>
      </c>
      <c r="AL37" s="1">
        <f t="shared" si="38"/>
        <v>858.63374999999985</v>
      </c>
      <c r="AM37" s="1">
        <f t="shared" si="39"/>
        <v>938.8</v>
      </c>
      <c r="AN37" s="1">
        <f t="shared" si="40"/>
        <v>2550</v>
      </c>
      <c r="AP37" s="7">
        <f t="shared" si="41"/>
        <v>964.82852564102586</v>
      </c>
      <c r="AQ37" s="7">
        <f t="shared" si="42"/>
        <v>0</v>
      </c>
      <c r="AR37" s="7">
        <f t="shared" si="43"/>
        <v>0</v>
      </c>
      <c r="AS37" s="7">
        <f t="shared" si="44"/>
        <v>1100.8124999999998</v>
      </c>
      <c r="AT37" s="7">
        <f t="shared" si="45"/>
        <v>1203.5897435897434</v>
      </c>
      <c r="AU37" s="7">
        <f t="shared" si="46"/>
        <v>3269.2307692307686</v>
      </c>
      <c r="AW37" s="46">
        <v>0.3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89"/>
        <v>289.44855769230776</v>
      </c>
      <c r="BD37" s="7">
        <f t="shared" si="89"/>
        <v>0</v>
      </c>
      <c r="BE37" s="7">
        <f t="shared" si="89"/>
        <v>0</v>
      </c>
      <c r="BF37" s="7">
        <f t="shared" si="89"/>
        <v>275.20312499999994</v>
      </c>
      <c r="BG37" s="7">
        <f t="shared" si="89"/>
        <v>300.89743589743586</v>
      </c>
      <c r="BI37" s="46">
        <v>0.75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64"/>
        <v>723.6213942307694</v>
      </c>
      <c r="BP37" s="7">
        <f t="shared" si="65"/>
        <v>0</v>
      </c>
      <c r="BQ37" s="7">
        <f t="shared" si="66"/>
        <v>0</v>
      </c>
      <c r="BR37" s="7">
        <f t="shared" si="67"/>
        <v>825.60937499999977</v>
      </c>
      <c r="BS37" s="7">
        <f t="shared" si="68"/>
        <v>902.69230769230762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69"/>
        <v>0</v>
      </c>
      <c r="CB37" s="7">
        <f t="shared" si="70"/>
        <v>0</v>
      </c>
      <c r="CC37" s="7">
        <f t="shared" si="71"/>
        <v>0</v>
      </c>
      <c r="CD37" s="7">
        <f t="shared" si="72"/>
        <v>0</v>
      </c>
      <c r="CE37" s="7">
        <f t="shared" si="73"/>
        <v>0</v>
      </c>
    </row>
    <row r="38" spans="1:83" x14ac:dyDescent="0.25">
      <c r="B38" s="16" t="s">
        <v>73</v>
      </c>
      <c r="C38" s="16">
        <f>C55+C56+C57+C58+C89+C90</f>
        <v>1050</v>
      </c>
      <c r="D38" s="16">
        <f>D55+D56+D57+D58+D89+D90</f>
        <v>1050</v>
      </c>
      <c r="F38" s="16">
        <f t="shared" ref="F38:K38" si="114">F55+F56+F57+F58+F89+F90</f>
        <v>0</v>
      </c>
      <c r="G38" s="16">
        <f t="shared" si="114"/>
        <v>0</v>
      </c>
      <c r="H38" s="16">
        <f t="shared" si="114"/>
        <v>0</v>
      </c>
      <c r="I38" s="16">
        <f t="shared" si="114"/>
        <v>0</v>
      </c>
      <c r="J38" s="16">
        <f t="shared" si="114"/>
        <v>0</v>
      </c>
      <c r="K38" s="16">
        <f t="shared" si="114"/>
        <v>1050</v>
      </c>
      <c r="M38" s="16">
        <f t="shared" ref="M38:P38" si="115">M55+M56+M57+M58+M89+M90</f>
        <v>0</v>
      </c>
      <c r="N38" s="16">
        <f t="shared" si="115"/>
        <v>0</v>
      </c>
      <c r="O38" s="16">
        <f t="shared" si="115"/>
        <v>0</v>
      </c>
      <c r="P38" s="16">
        <f t="shared" si="115"/>
        <v>0</v>
      </c>
      <c r="S38" s="16"/>
      <c r="T38" s="16">
        <f>T55+T56+T57+T58+T89+T90</f>
        <v>0</v>
      </c>
      <c r="V38" s="16">
        <f t="shared" ref="V38:Y38" si="116">V55+V56+V57+V58+V89+V90</f>
        <v>0</v>
      </c>
      <c r="W38" s="16">
        <f t="shared" si="116"/>
        <v>0</v>
      </c>
      <c r="X38" s="16">
        <f t="shared" si="116"/>
        <v>0</v>
      </c>
      <c r="Y38" s="16">
        <f t="shared" si="116"/>
        <v>0</v>
      </c>
      <c r="AA38" s="16">
        <f t="shared" ref="AA38:AD38" si="117">AA55+AA56+AA57+AA58+AA89+AA90</f>
        <v>0</v>
      </c>
      <c r="AB38" s="16">
        <f t="shared" ref="AB38" si="118">AB55+AB56+AB57+AB58+AB89+AB90</f>
        <v>0</v>
      </c>
      <c r="AC38" s="16">
        <f t="shared" si="117"/>
        <v>0</v>
      </c>
      <c r="AD38" s="16">
        <f t="shared" si="117"/>
        <v>0</v>
      </c>
      <c r="AH38" s="59" t="str">
        <f t="shared" si="29"/>
        <v>Mama Gold Semolina</v>
      </c>
      <c r="AI38" s="1">
        <f t="shared" si="30"/>
        <v>1050</v>
      </c>
      <c r="AJ38" s="1">
        <f t="shared" si="31"/>
        <v>0</v>
      </c>
      <c r="AK38" s="1">
        <f t="shared" si="32"/>
        <v>0</v>
      </c>
      <c r="AL38" s="1">
        <f t="shared" si="38"/>
        <v>0</v>
      </c>
      <c r="AM38" s="1">
        <f t="shared" si="39"/>
        <v>0</v>
      </c>
      <c r="AN38" s="1">
        <f t="shared" si="40"/>
        <v>1050</v>
      </c>
      <c r="AP38" s="7">
        <f t="shared" si="41"/>
        <v>1346.1538461538462</v>
      </c>
      <c r="AQ38" s="7">
        <f t="shared" si="42"/>
        <v>0</v>
      </c>
      <c r="AR38" s="7">
        <f t="shared" si="43"/>
        <v>0</v>
      </c>
      <c r="AS38" s="7">
        <f t="shared" si="44"/>
        <v>0</v>
      </c>
      <c r="AT38" s="7">
        <f t="shared" si="45"/>
        <v>0</v>
      </c>
      <c r="AU38" s="7">
        <f t="shared" si="46"/>
        <v>1346.1538461538462</v>
      </c>
      <c r="AW38" s="46">
        <v>0.3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89"/>
        <v>403.84615384615387</v>
      </c>
      <c r="BD38" s="7">
        <f t="shared" si="89"/>
        <v>0</v>
      </c>
      <c r="BE38" s="7">
        <f t="shared" si="89"/>
        <v>0</v>
      </c>
      <c r="BF38" s="7">
        <f t="shared" si="89"/>
        <v>0</v>
      </c>
      <c r="BG38" s="7">
        <f t="shared" si="89"/>
        <v>0</v>
      </c>
      <c r="BI38" s="46">
        <v>0.7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64"/>
        <v>942.30769230769226</v>
      </c>
      <c r="BP38" s="7">
        <f t="shared" si="65"/>
        <v>0</v>
      </c>
      <c r="BQ38" s="7">
        <f t="shared" si="66"/>
        <v>0</v>
      </c>
      <c r="BR38" s="7">
        <f t="shared" si="67"/>
        <v>0</v>
      </c>
      <c r="BS38" s="7">
        <f t="shared" si="68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69"/>
        <v>0</v>
      </c>
      <c r="CB38" s="7">
        <f t="shared" si="70"/>
        <v>0</v>
      </c>
      <c r="CC38" s="7">
        <f t="shared" si="71"/>
        <v>0</v>
      </c>
      <c r="CD38" s="7">
        <f t="shared" si="72"/>
        <v>0</v>
      </c>
      <c r="CE38" s="7">
        <f t="shared" si="73"/>
        <v>0</v>
      </c>
    </row>
    <row r="39" spans="1:83" x14ac:dyDescent="0.25">
      <c r="B39" s="16" t="s">
        <v>94</v>
      </c>
      <c r="C39" s="16">
        <f>C77</f>
        <v>0</v>
      </c>
      <c r="D39" s="16">
        <f>D77</f>
        <v>0</v>
      </c>
      <c r="F39" s="16">
        <f t="shared" ref="F39:K39" si="119">F77</f>
        <v>0</v>
      </c>
      <c r="G39" s="16">
        <f t="shared" si="119"/>
        <v>0</v>
      </c>
      <c r="H39" s="16">
        <f t="shared" si="119"/>
        <v>0</v>
      </c>
      <c r="I39" s="16">
        <f t="shared" si="119"/>
        <v>0</v>
      </c>
      <c r="J39" s="16">
        <f t="shared" si="119"/>
        <v>0</v>
      </c>
      <c r="K39" s="16">
        <f t="shared" si="119"/>
        <v>0</v>
      </c>
      <c r="M39" s="16">
        <f t="shared" ref="M39:P39" si="120">M77</f>
        <v>0</v>
      </c>
      <c r="N39" s="16">
        <f t="shared" si="120"/>
        <v>0</v>
      </c>
      <c r="O39" s="16">
        <f t="shared" si="120"/>
        <v>0</v>
      </c>
      <c r="P39" s="16">
        <f t="shared" si="120"/>
        <v>0</v>
      </c>
      <c r="S39" s="16"/>
      <c r="T39" s="16">
        <f>T77</f>
        <v>0</v>
      </c>
      <c r="V39" s="16">
        <f t="shared" ref="V39:Y39" si="121">V77</f>
        <v>0</v>
      </c>
      <c r="W39" s="16">
        <f t="shared" si="121"/>
        <v>0</v>
      </c>
      <c r="X39" s="16">
        <f t="shared" si="121"/>
        <v>0</v>
      </c>
      <c r="Y39" s="16">
        <f t="shared" si="121"/>
        <v>0</v>
      </c>
      <c r="AA39" s="16">
        <f t="shared" ref="AA39:AD39" si="122">AA77</f>
        <v>0</v>
      </c>
      <c r="AB39" s="16">
        <f t="shared" ref="AB39" si="123">AB77</f>
        <v>0</v>
      </c>
      <c r="AC39" s="16">
        <f t="shared" si="122"/>
        <v>0</v>
      </c>
      <c r="AD39" s="16">
        <f t="shared" si="122"/>
        <v>0</v>
      </c>
      <c r="AH39" s="59" t="str">
        <f t="shared" si="29"/>
        <v>Tuwovita</v>
      </c>
      <c r="AI39" s="1">
        <f t="shared" si="30"/>
        <v>0</v>
      </c>
      <c r="AJ39" s="1">
        <f t="shared" si="31"/>
        <v>0</v>
      </c>
      <c r="AK39" s="1">
        <f t="shared" si="32"/>
        <v>0</v>
      </c>
      <c r="AL39" s="1">
        <f t="shared" si="38"/>
        <v>0</v>
      </c>
      <c r="AM39" s="1">
        <f t="shared" si="39"/>
        <v>0</v>
      </c>
      <c r="AN39" s="1">
        <f t="shared" si="40"/>
        <v>0</v>
      </c>
      <c r="AP39" s="7">
        <f t="shared" si="41"/>
        <v>0</v>
      </c>
      <c r="AQ39" s="7">
        <f t="shared" si="42"/>
        <v>0</v>
      </c>
      <c r="AR39" s="7">
        <f t="shared" si="43"/>
        <v>0</v>
      </c>
      <c r="AS39" s="7">
        <f t="shared" si="44"/>
        <v>0</v>
      </c>
      <c r="AT39" s="7">
        <f t="shared" si="45"/>
        <v>0</v>
      </c>
      <c r="AU39" s="7">
        <f t="shared" si="46"/>
        <v>0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89"/>
        <v>0</v>
      </c>
      <c r="BD39" s="7">
        <f t="shared" si="89"/>
        <v>0</v>
      </c>
      <c r="BE39" s="7">
        <f t="shared" si="89"/>
        <v>0</v>
      </c>
      <c r="BF39" s="7">
        <f t="shared" si="89"/>
        <v>0</v>
      </c>
      <c r="BG39" s="7">
        <f t="shared" si="89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64"/>
        <v>0</v>
      </c>
      <c r="BP39" s="7">
        <f t="shared" si="65"/>
        <v>0</v>
      </c>
      <c r="BQ39" s="7">
        <f t="shared" si="66"/>
        <v>0</v>
      </c>
      <c r="BR39" s="7">
        <f t="shared" si="67"/>
        <v>0</v>
      </c>
      <c r="BS39" s="7">
        <f t="shared" si="68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69"/>
        <v>0</v>
      </c>
      <c r="CB39" s="7">
        <f t="shared" si="70"/>
        <v>0</v>
      </c>
      <c r="CC39" s="7">
        <f t="shared" si="71"/>
        <v>0</v>
      </c>
      <c r="CD39" s="7">
        <f t="shared" si="72"/>
        <v>0</v>
      </c>
      <c r="CE39" s="7">
        <f t="shared" si="73"/>
        <v>0</v>
      </c>
    </row>
    <row r="40" spans="1:83" ht="21" x14ac:dyDescent="0.35">
      <c r="A40" s="8"/>
      <c r="B40" s="33"/>
      <c r="C40" s="33">
        <f>SUM(C27:C39)</f>
        <v>89359</v>
      </c>
      <c r="D40" s="33">
        <f>SUM(D27:D39)</f>
        <v>89359</v>
      </c>
      <c r="E40" s="8"/>
      <c r="F40" s="47">
        <v>0</v>
      </c>
      <c r="G40" s="47">
        <f>SUM(G95:G110)/G17</f>
        <v>0.95235028904931818</v>
      </c>
      <c r="H40" s="47">
        <f>SUM(H95:H110)/H17</f>
        <v>0.87555666196442894</v>
      </c>
      <c r="I40" s="47">
        <f>SUM(I95:I110)/I17</f>
        <v>0.94296210801065172</v>
      </c>
      <c r="J40" s="47">
        <f>(J96+J104)/J23</f>
        <v>0.73865751625550269</v>
      </c>
      <c r="K40" s="47">
        <f>K93/K17</f>
        <v>0.85667405881454228</v>
      </c>
      <c r="L40" s="8"/>
      <c r="M40" s="47">
        <v>0</v>
      </c>
      <c r="N40" s="47">
        <f>SUM(N95:N110)/N17</f>
        <v>0.99004469101556469</v>
      </c>
      <c r="O40" s="47">
        <f>SUM(O95:O110)/O17</f>
        <v>0.98598417045018971</v>
      </c>
      <c r="P40" s="48">
        <f>P93/P17</f>
        <v>0.9880144307328772</v>
      </c>
      <c r="Q40" s="8"/>
      <c r="R40" s="47">
        <f>SUM(R95:R110)/R17</f>
        <v>0.94764810577167546</v>
      </c>
      <c r="S40" s="47">
        <f t="shared" ref="S40:T40" si="124">SUM(S95:S110)/S17</f>
        <v>0</v>
      </c>
      <c r="T40" s="47">
        <f t="shared" si="124"/>
        <v>0.692512077294686</v>
      </c>
      <c r="U40" s="8"/>
      <c r="V40" s="47">
        <f>SUM(V95:V110)/V17</f>
        <v>0.93068193365331853</v>
      </c>
      <c r="W40" s="47">
        <f>SUM(W95:W110)/W17</f>
        <v>0.97683814548403192</v>
      </c>
      <c r="X40" s="47">
        <f>SUM(X95:X110)/X17</f>
        <v>0.97683814548403192</v>
      </c>
      <c r="Y40" s="47">
        <f>Y93/Y17</f>
        <v>0.95837566075174674</v>
      </c>
      <c r="Z40" s="8"/>
      <c r="AA40" s="47">
        <f>SUM(AA95:AA110)/AA17</f>
        <v>0.97228494016708034</v>
      </c>
      <c r="AB40" s="47">
        <f>SUM(AB95:AB110)/AB17</f>
        <v>0.65276036400404436</v>
      </c>
      <c r="AC40" s="47">
        <f>SUM(AC95:AC110)/AC17</f>
        <v>0.82986220129077259</v>
      </c>
      <c r="AD40" s="47">
        <f>AD93/AD17</f>
        <v>0.84370782488389839</v>
      </c>
      <c r="AE40" s="8"/>
      <c r="AF40" s="8"/>
      <c r="AG40" s="54"/>
      <c r="AH40" s="61"/>
      <c r="AI40" s="59">
        <f>SUM(AI27:AI39)</f>
        <v>23073.646250000002</v>
      </c>
      <c r="AJ40" s="59">
        <f t="shared" ref="AJ40:AN40" si="125">SUM(AJ27:AJ39)</f>
        <v>25003.78</v>
      </c>
      <c r="AK40" s="59">
        <f t="shared" si="125"/>
        <v>5590.6500000000005</v>
      </c>
      <c r="AL40" s="59">
        <f t="shared" si="125"/>
        <v>16457.873750000002</v>
      </c>
      <c r="AM40" s="59">
        <f t="shared" si="125"/>
        <v>19233.05</v>
      </c>
      <c r="AN40" s="59">
        <f t="shared" si="125"/>
        <v>89359</v>
      </c>
      <c r="AO40" s="57"/>
      <c r="AP40" s="57">
        <f t="shared" ref="AP40:AU40" si="126">AI40/0.78</f>
        <v>29581.597756410258</v>
      </c>
      <c r="AQ40" s="57">
        <f t="shared" si="126"/>
        <v>32056.128205128203</v>
      </c>
      <c r="AR40" s="57">
        <f t="shared" si="126"/>
        <v>7167.5000000000009</v>
      </c>
      <c r="AS40" s="57">
        <f t="shared" si="126"/>
        <v>21099.838141025644</v>
      </c>
      <c r="AT40" s="57">
        <f t="shared" si="126"/>
        <v>24657.75641025641</v>
      </c>
      <c r="AU40" s="57">
        <f t="shared" si="126"/>
        <v>114562.82051282052</v>
      </c>
      <c r="AV40" s="57"/>
      <c r="AW40" s="57"/>
      <c r="AX40" s="57"/>
      <c r="AY40" s="57"/>
      <c r="AZ40" s="57"/>
      <c r="BA40" s="57"/>
      <c r="BB40" s="57"/>
      <c r="BC40" s="57">
        <f>SUM(BC27:BC39)</f>
        <v>9709.8626602564109</v>
      </c>
      <c r="BD40" s="57">
        <f t="shared" ref="BD40:BG40" si="127">SUM(BD27:BD39)</f>
        <v>7493.0102564102563</v>
      </c>
      <c r="BE40" s="57">
        <f t="shared" si="127"/>
        <v>0</v>
      </c>
      <c r="BF40" s="57">
        <f t="shared" si="127"/>
        <v>6149.4390224358967</v>
      </c>
      <c r="BG40" s="57">
        <f t="shared" si="127"/>
        <v>3065.0320512820513</v>
      </c>
      <c r="BH40" s="57"/>
      <c r="BI40" s="57"/>
      <c r="BJ40" s="57"/>
      <c r="BK40" s="57"/>
      <c r="BL40" s="57"/>
      <c r="BM40" s="57"/>
      <c r="BN40" s="57"/>
      <c r="BO40" s="57">
        <f>SUM(BO27:BO39)</f>
        <v>15593.053445512822</v>
      </c>
      <c r="BP40" s="57">
        <f t="shared" ref="BP40" si="128">SUM(BP27:BP39)</f>
        <v>24563.117948717947</v>
      </c>
      <c r="BQ40" s="57">
        <f t="shared" ref="BQ40" si="129">SUM(BQ27:BQ39)</f>
        <v>7167.5000000000009</v>
      </c>
      <c r="BR40" s="57">
        <f t="shared" ref="BR40" si="130">SUM(BR27:BR39)</f>
        <v>14950.399118589743</v>
      </c>
      <c r="BS40" s="57">
        <f t="shared" ref="BS40" si="131">SUM(BS27:BS39)</f>
        <v>21592.724358974356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" si="132">SUM(CB27:CB39)</f>
        <v>0</v>
      </c>
      <c r="CC40" s="57">
        <f t="shared" ref="CC40" si="133">SUM(CC27:CC39)</f>
        <v>0</v>
      </c>
      <c r="CD40" s="57">
        <f t="shared" ref="CD40" si="134">SUM(CD27:CD39)</f>
        <v>0</v>
      </c>
      <c r="CE40" s="57">
        <f t="shared" ref="CE40" si="135">SUM(CE27:CE39)</f>
        <v>0</v>
      </c>
    </row>
    <row r="41" spans="1:83" x14ac:dyDescent="0.25">
      <c r="BC41" s="84">
        <f>SUM(BC40:BE40)</f>
        <v>17202.872916666667</v>
      </c>
      <c r="BD41" s="84"/>
      <c r="BE41" s="84"/>
      <c r="BF41" s="7">
        <f>BF40</f>
        <v>6149.4390224358967</v>
      </c>
      <c r="BG41" s="7">
        <f>BG40</f>
        <v>3065.0320512820513</v>
      </c>
      <c r="BO41" s="84">
        <f>SUM(BO40:BQ40)</f>
        <v>47323.671394230769</v>
      </c>
      <c r="BP41" s="84"/>
      <c r="BQ41" s="84"/>
      <c r="BR41" s="7">
        <f>BR40</f>
        <v>14950.399118589743</v>
      </c>
      <c r="BS41" s="7">
        <f>BS40</f>
        <v>21592.724358974356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BC42" s="71">
        <f>BC41/4.33</f>
        <v>3972.9498652809853</v>
      </c>
      <c r="BD42" s="71"/>
      <c r="BE42" s="71"/>
      <c r="BF42" s="7">
        <f>BF41/4.33</f>
        <v>1420.1937696156806</v>
      </c>
      <c r="BG42" s="7">
        <f>BG41/4.33</f>
        <v>707.85959613904186</v>
      </c>
      <c r="BO42" s="71">
        <f>BO41/4.33</f>
        <v>10929.254363563688</v>
      </c>
      <c r="BP42" s="71"/>
      <c r="BQ42" s="71"/>
      <c r="BR42" s="7">
        <f>BR41/4.33</f>
        <v>3452.7480643394324</v>
      </c>
      <c r="BS42" s="7">
        <f>BS41/4.33</f>
        <v>4986.7723692781419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>
        <v>0</v>
      </c>
      <c r="D45" s="36">
        <f t="shared" ref="D45:D78" si="136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180</v>
      </c>
      <c r="D46" s="36">
        <f t="shared" si="136"/>
        <v>180</v>
      </c>
      <c r="K46" s="7">
        <f>C46</f>
        <v>180</v>
      </c>
      <c r="P46" s="7">
        <f t="shared" ref="P46:P92" si="137">SUM(M46:O46)</f>
        <v>0</v>
      </c>
      <c r="Y46" s="7">
        <f t="shared" ref="Y46:Y92" si="138">SUM(V46:X46)</f>
        <v>0</v>
      </c>
      <c r="AD46" s="7">
        <f t="shared" ref="AD46:AD92" si="139">SUM(AA46:AC46)</f>
        <v>0</v>
      </c>
    </row>
    <row r="47" spans="1:83" x14ac:dyDescent="0.25">
      <c r="A47" s="24">
        <v>100000020598</v>
      </c>
      <c r="B47" s="25" t="s">
        <v>28</v>
      </c>
      <c r="C47" s="36">
        <v>0</v>
      </c>
      <c r="D47" s="36">
        <f t="shared" si="136"/>
        <v>0</v>
      </c>
      <c r="K47" s="7">
        <f t="shared" ref="K47:K92" si="140">SUM(F47:J47)</f>
        <v>0</v>
      </c>
      <c r="P47" s="7">
        <f t="shared" si="137"/>
        <v>0</v>
      </c>
      <c r="Y47" s="7">
        <f t="shared" si="138"/>
        <v>0</v>
      </c>
      <c r="AD47" s="7">
        <f t="shared" si="139"/>
        <v>0</v>
      </c>
    </row>
    <row r="48" spans="1:83" x14ac:dyDescent="0.25">
      <c r="A48" s="26">
        <v>100000019578</v>
      </c>
      <c r="B48" s="27" t="s">
        <v>29</v>
      </c>
      <c r="C48" s="43">
        <f>C66*1.5%</f>
        <v>161.25</v>
      </c>
      <c r="D48" s="36">
        <f t="shared" si="136"/>
        <v>161.25</v>
      </c>
      <c r="K48" s="7">
        <f t="shared" si="140"/>
        <v>0</v>
      </c>
      <c r="P48" s="7">
        <f t="shared" si="137"/>
        <v>0</v>
      </c>
      <c r="T48" s="7">
        <f>C48*0.47</f>
        <v>75.787499999999994</v>
      </c>
      <c r="Y48" s="7">
        <f t="shared" si="138"/>
        <v>0</v>
      </c>
      <c r="AD48" s="7">
        <f>C48*0.53</f>
        <v>85.462500000000006</v>
      </c>
    </row>
    <row r="49" spans="1:30" x14ac:dyDescent="0.25">
      <c r="A49" s="26"/>
      <c r="B49" s="29" t="s">
        <v>85</v>
      </c>
      <c r="C49" s="36">
        <v>150</v>
      </c>
      <c r="D49" s="36">
        <f t="shared" si="136"/>
        <v>150</v>
      </c>
      <c r="K49" s="7">
        <f t="shared" si="140"/>
        <v>0</v>
      </c>
      <c r="T49" s="7">
        <v>0</v>
      </c>
      <c r="AD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136"/>
        <v>500</v>
      </c>
      <c r="K50" s="7">
        <f t="shared" si="140"/>
        <v>0</v>
      </c>
      <c r="P50" s="7">
        <f t="shared" si="137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f>595+1000</f>
        <v>1595</v>
      </c>
      <c r="D51" s="36">
        <f t="shared" si="136"/>
        <v>1595</v>
      </c>
      <c r="K51" s="7">
        <f t="shared" si="140"/>
        <v>0</v>
      </c>
      <c r="P51" s="7">
        <f t="shared" si="137"/>
        <v>0</v>
      </c>
      <c r="Y51" s="7">
        <f t="shared" si="138"/>
        <v>0</v>
      </c>
      <c r="AD51" s="7">
        <f>C51</f>
        <v>1595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136"/>
        <v>150</v>
      </c>
      <c r="K52" s="7">
        <f t="shared" si="140"/>
        <v>0</v>
      </c>
      <c r="P52" s="7">
        <f t="shared" si="137"/>
        <v>0</v>
      </c>
      <c r="T52" s="7">
        <v>0</v>
      </c>
      <c r="Y52" s="7">
        <f t="shared" si="138"/>
        <v>0</v>
      </c>
      <c r="AD52" s="7">
        <f>C52</f>
        <v>150</v>
      </c>
    </row>
    <row r="53" spans="1:30" x14ac:dyDescent="0.25">
      <c r="A53" s="26">
        <v>100000006034</v>
      </c>
      <c r="B53" s="51" t="s">
        <v>99</v>
      </c>
      <c r="C53" s="36">
        <v>18314</v>
      </c>
      <c r="D53" s="36">
        <f t="shared" si="136"/>
        <v>18314</v>
      </c>
      <c r="K53" s="7">
        <f>C53*0.47</f>
        <v>8607.58</v>
      </c>
      <c r="P53" s="7">
        <f>C53*0.47</f>
        <v>8607.58</v>
      </c>
      <c r="Y53" s="7">
        <f>C53*0.06</f>
        <v>1098.8399999999999</v>
      </c>
      <c r="AD53" s="7">
        <f t="shared" si="139"/>
        <v>0</v>
      </c>
    </row>
    <row r="54" spans="1:30" x14ac:dyDescent="0.25">
      <c r="A54" s="26">
        <v>100000029187</v>
      </c>
      <c r="B54" s="27" t="s">
        <v>31</v>
      </c>
      <c r="C54" s="45">
        <v>6000</v>
      </c>
      <c r="D54" s="36">
        <f t="shared" si="136"/>
        <v>6000</v>
      </c>
      <c r="F54" s="37"/>
      <c r="G54" s="37"/>
      <c r="H54" s="37"/>
      <c r="I54" s="37"/>
      <c r="J54" s="37"/>
      <c r="K54" s="7">
        <f>C54*0.4</f>
        <v>2400</v>
      </c>
      <c r="P54" s="7">
        <f>C54*0.6</f>
        <v>3600</v>
      </c>
      <c r="Y54" s="7">
        <v>0</v>
      </c>
      <c r="AD54" s="7">
        <v>0</v>
      </c>
    </row>
    <row r="55" spans="1:30" x14ac:dyDescent="0.25">
      <c r="A55" s="26">
        <v>100000006028</v>
      </c>
      <c r="B55" s="27" t="s">
        <v>32</v>
      </c>
      <c r="C55" s="45">
        <v>13</v>
      </c>
      <c r="D55" s="36">
        <f t="shared" si="136"/>
        <v>13</v>
      </c>
      <c r="F55" s="37"/>
      <c r="G55" s="37"/>
      <c r="H55" s="37"/>
      <c r="I55" s="37"/>
      <c r="J55" s="37"/>
      <c r="K55" s="7">
        <f>C55</f>
        <v>13</v>
      </c>
      <c r="P55" s="7">
        <f t="shared" si="137"/>
        <v>0</v>
      </c>
      <c r="Y55" s="7">
        <f t="shared" si="138"/>
        <v>0</v>
      </c>
      <c r="AD55" s="7">
        <f t="shared" si="139"/>
        <v>0</v>
      </c>
    </row>
    <row r="56" spans="1:30" x14ac:dyDescent="0.25">
      <c r="A56" s="26">
        <v>100000006029</v>
      </c>
      <c r="B56" s="27" t="s">
        <v>33</v>
      </c>
      <c r="C56" s="45">
        <v>10</v>
      </c>
      <c r="D56" s="36">
        <f t="shared" si="136"/>
        <v>10</v>
      </c>
      <c r="F56" s="38"/>
      <c r="G56" s="38"/>
      <c r="H56" s="38"/>
      <c r="I56" s="38"/>
      <c r="J56" s="38"/>
      <c r="K56" s="7">
        <f t="shared" ref="K56:K58" si="141">C56</f>
        <v>10</v>
      </c>
      <c r="P56" s="7">
        <f t="shared" si="137"/>
        <v>0</v>
      </c>
      <c r="Y56" s="7">
        <f t="shared" si="138"/>
        <v>0</v>
      </c>
      <c r="AD56" s="7">
        <f t="shared" si="139"/>
        <v>0</v>
      </c>
    </row>
    <row r="57" spans="1:30" x14ac:dyDescent="0.25">
      <c r="A57" s="26">
        <v>100000006030</v>
      </c>
      <c r="B57" s="27" t="s">
        <v>34</v>
      </c>
      <c r="C57" s="45">
        <v>56</v>
      </c>
      <c r="D57" s="36">
        <f t="shared" si="136"/>
        <v>56</v>
      </c>
      <c r="F57" s="38"/>
      <c r="G57" s="38"/>
      <c r="H57" s="38"/>
      <c r="I57" s="38"/>
      <c r="J57" s="38"/>
      <c r="K57" s="7">
        <f t="shared" si="141"/>
        <v>56</v>
      </c>
      <c r="P57" s="7">
        <f t="shared" si="137"/>
        <v>0</v>
      </c>
      <c r="Y57" s="7">
        <f t="shared" si="138"/>
        <v>0</v>
      </c>
      <c r="AD57" s="7">
        <f t="shared" si="139"/>
        <v>0</v>
      </c>
    </row>
    <row r="58" spans="1:30" x14ac:dyDescent="0.25">
      <c r="A58" s="26">
        <v>100000006031</v>
      </c>
      <c r="B58" s="27" t="s">
        <v>35</v>
      </c>
      <c r="C58" s="45">
        <v>178</v>
      </c>
      <c r="D58" s="36">
        <f t="shared" si="136"/>
        <v>178</v>
      </c>
      <c r="F58" s="38"/>
      <c r="G58" s="38"/>
      <c r="H58" s="38"/>
      <c r="I58" s="38"/>
      <c r="J58" s="38"/>
      <c r="K58" s="7">
        <f t="shared" si="141"/>
        <v>178</v>
      </c>
      <c r="P58" s="7">
        <f t="shared" si="137"/>
        <v>0</v>
      </c>
      <c r="Y58" s="7">
        <f t="shared" si="138"/>
        <v>0</v>
      </c>
      <c r="AD58" s="7">
        <f t="shared" si="139"/>
        <v>0</v>
      </c>
    </row>
    <row r="59" spans="1:30" x14ac:dyDescent="0.25">
      <c r="A59" s="26">
        <v>100000011888</v>
      </c>
      <c r="B59" s="27" t="s">
        <v>36</v>
      </c>
      <c r="C59" s="43">
        <v>0</v>
      </c>
      <c r="D59" s="36">
        <f t="shared" si="136"/>
        <v>0</v>
      </c>
      <c r="F59" s="38"/>
      <c r="G59" s="38"/>
      <c r="H59" s="38"/>
      <c r="I59" s="38"/>
      <c r="J59" s="38"/>
      <c r="K59" s="7">
        <f t="shared" si="140"/>
        <v>0</v>
      </c>
      <c r="P59" s="7">
        <f t="shared" si="137"/>
        <v>0</v>
      </c>
      <c r="Y59" s="7">
        <f t="shared" si="138"/>
        <v>0</v>
      </c>
      <c r="AD59" s="7">
        <f t="shared" si="139"/>
        <v>0</v>
      </c>
    </row>
    <row r="60" spans="1:30" x14ac:dyDescent="0.25">
      <c r="A60" s="26">
        <v>100000011889</v>
      </c>
      <c r="B60" s="27" t="s">
        <v>37</v>
      </c>
      <c r="C60" s="43">
        <v>0</v>
      </c>
      <c r="D60" s="36">
        <f t="shared" si="136"/>
        <v>0</v>
      </c>
      <c r="F60" s="38"/>
      <c r="G60" s="38"/>
      <c r="H60" s="38"/>
      <c r="I60" s="38"/>
      <c r="J60" s="38"/>
      <c r="K60" s="7">
        <f t="shared" si="140"/>
        <v>0</v>
      </c>
      <c r="P60" s="7">
        <f t="shared" si="137"/>
        <v>0</v>
      </c>
      <c r="Y60" s="7">
        <f t="shared" si="138"/>
        <v>0</v>
      </c>
      <c r="AD60" s="7">
        <f t="shared" si="139"/>
        <v>0</v>
      </c>
    </row>
    <row r="61" spans="1:30" x14ac:dyDescent="0.25">
      <c r="A61" s="26">
        <v>100000012011</v>
      </c>
      <c r="B61" s="27" t="s">
        <v>38</v>
      </c>
      <c r="C61" s="43">
        <v>0</v>
      </c>
      <c r="D61" s="36">
        <f t="shared" si="136"/>
        <v>0</v>
      </c>
      <c r="F61" s="38"/>
      <c r="G61" s="38"/>
      <c r="H61" s="38"/>
      <c r="I61" s="38"/>
      <c r="J61" s="38"/>
      <c r="K61" s="7">
        <f t="shared" si="140"/>
        <v>0</v>
      </c>
      <c r="P61" s="7">
        <f t="shared" si="137"/>
        <v>0</v>
      </c>
      <c r="Y61" s="7">
        <f t="shared" si="138"/>
        <v>0</v>
      </c>
      <c r="AD61" s="7">
        <f t="shared" si="139"/>
        <v>0</v>
      </c>
    </row>
    <row r="62" spans="1:30" x14ac:dyDescent="0.25">
      <c r="A62" s="26">
        <v>100000012012</v>
      </c>
      <c r="B62" s="27" t="s">
        <v>39</v>
      </c>
      <c r="C62" s="43">
        <v>0</v>
      </c>
      <c r="D62" s="36">
        <f t="shared" si="136"/>
        <v>0</v>
      </c>
      <c r="F62" s="38"/>
      <c r="G62" s="38"/>
      <c r="H62" s="38"/>
      <c r="I62" s="38"/>
      <c r="J62" s="38"/>
      <c r="K62" s="7">
        <f t="shared" si="140"/>
        <v>0</v>
      </c>
      <c r="P62" s="7">
        <f t="shared" si="137"/>
        <v>0</v>
      </c>
      <c r="Y62" s="7">
        <f t="shared" si="138"/>
        <v>0</v>
      </c>
      <c r="AD62" s="7">
        <f t="shared" si="139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136"/>
        <v>7000</v>
      </c>
      <c r="F63" s="38"/>
      <c r="G63" s="38"/>
      <c r="H63" s="38"/>
      <c r="I63" s="38"/>
      <c r="J63" s="38"/>
      <c r="K63" s="7">
        <f t="shared" si="140"/>
        <v>0</v>
      </c>
      <c r="P63" s="7">
        <f t="shared" si="137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20126</v>
      </c>
      <c r="D64" s="36">
        <f t="shared" si="136"/>
        <v>20126</v>
      </c>
      <c r="K64" s="7">
        <f>C64*0.25</f>
        <v>5031.5</v>
      </c>
      <c r="P64" s="7">
        <v>0</v>
      </c>
      <c r="Y64" s="7">
        <f>C64*0.4</f>
        <v>8050.4000000000005</v>
      </c>
      <c r="AD64" s="7">
        <f>C64*0.35</f>
        <v>7044.0999999999995</v>
      </c>
    </row>
    <row r="65" spans="1:32" x14ac:dyDescent="0.25">
      <c r="A65" s="26">
        <v>100000017891</v>
      </c>
      <c r="B65" s="51" t="s">
        <v>101</v>
      </c>
      <c r="C65" s="45">
        <v>13172</v>
      </c>
      <c r="D65" s="36">
        <f t="shared" si="136"/>
        <v>13171.999999999998</v>
      </c>
      <c r="P65" s="7">
        <f>C65*0.85</f>
        <v>11196.199999999999</v>
      </c>
      <c r="Y65" s="7">
        <v>0</v>
      </c>
      <c r="AD65" s="7">
        <f>C65*0.15</f>
        <v>1975.8</v>
      </c>
    </row>
    <row r="66" spans="1:32" x14ac:dyDescent="0.25">
      <c r="A66" s="26">
        <v>100000018687</v>
      </c>
      <c r="B66" s="51" t="s">
        <v>102</v>
      </c>
      <c r="C66" s="43">
        <f>10120-250-20-400+1800-500</f>
        <v>10750</v>
      </c>
      <c r="D66" s="36">
        <f t="shared" si="136"/>
        <v>10750</v>
      </c>
      <c r="K66" s="7">
        <f t="shared" si="140"/>
        <v>0</v>
      </c>
      <c r="P66" s="7">
        <f t="shared" si="137"/>
        <v>0</v>
      </c>
      <c r="T66" s="7">
        <f>C66*0.49</f>
        <v>5267.5</v>
      </c>
      <c r="Y66" s="7">
        <f t="shared" si="138"/>
        <v>0</v>
      </c>
      <c r="AD66" s="7">
        <f>C66*0.51</f>
        <v>5482.5</v>
      </c>
      <c r="AF66" s="7">
        <f>AD66*4.6%</f>
        <v>252.19499999999999</v>
      </c>
    </row>
    <row r="67" spans="1:32" x14ac:dyDescent="0.25">
      <c r="A67" s="26">
        <v>100000006037</v>
      </c>
      <c r="B67" s="27" t="s">
        <v>43</v>
      </c>
      <c r="C67" s="43">
        <f>3750-180</f>
        <v>3570</v>
      </c>
      <c r="D67" s="36">
        <f t="shared" si="136"/>
        <v>3570</v>
      </c>
      <c r="K67" s="7">
        <f>C67</f>
        <v>3570</v>
      </c>
      <c r="P67" s="7">
        <f t="shared" si="137"/>
        <v>0</v>
      </c>
      <c r="Y67" s="7">
        <f t="shared" si="138"/>
        <v>0</v>
      </c>
      <c r="AD67" s="7">
        <f t="shared" si="139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136"/>
        <v>300</v>
      </c>
      <c r="K68" s="7">
        <f t="shared" ref="K68:K69" si="142">C68</f>
        <v>300</v>
      </c>
      <c r="P68" s="7">
        <f t="shared" si="137"/>
        <v>0</v>
      </c>
      <c r="Y68" s="7">
        <f t="shared" si="138"/>
        <v>0</v>
      </c>
      <c r="AD68" s="7">
        <f t="shared" si="139"/>
        <v>0</v>
      </c>
    </row>
    <row r="69" spans="1:32" x14ac:dyDescent="0.25">
      <c r="A69" s="26">
        <v>100000002988</v>
      </c>
      <c r="B69" s="25" t="s">
        <v>132</v>
      </c>
      <c r="C69" s="43">
        <f>205+205+72</f>
        <v>482</v>
      </c>
      <c r="D69" s="36">
        <f t="shared" si="136"/>
        <v>482</v>
      </c>
      <c r="K69" s="7">
        <f t="shared" si="142"/>
        <v>482</v>
      </c>
      <c r="P69" s="7">
        <f t="shared" si="137"/>
        <v>0</v>
      </c>
      <c r="Y69" s="7">
        <f t="shared" si="138"/>
        <v>0</v>
      </c>
      <c r="AD69" s="7">
        <f t="shared" si="139"/>
        <v>0</v>
      </c>
    </row>
    <row r="70" spans="1:32" x14ac:dyDescent="0.25">
      <c r="A70" s="26">
        <v>100000002974</v>
      </c>
      <c r="B70" s="27" t="s">
        <v>47</v>
      </c>
      <c r="C70" s="45">
        <v>2000</v>
      </c>
      <c r="D70" s="36">
        <f t="shared" si="136"/>
        <v>2000</v>
      </c>
      <c r="K70" s="7">
        <f t="shared" si="140"/>
        <v>0</v>
      </c>
      <c r="P70" s="7">
        <f>C70*0.8</f>
        <v>1600</v>
      </c>
      <c r="Y70" s="7">
        <f t="shared" si="138"/>
        <v>0</v>
      </c>
      <c r="AD70" s="7">
        <f>C70*0.2</f>
        <v>400</v>
      </c>
    </row>
    <row r="71" spans="1:32" x14ac:dyDescent="0.25">
      <c r="A71" s="26">
        <v>100000002976</v>
      </c>
      <c r="B71" s="27" t="s">
        <v>48</v>
      </c>
      <c r="C71" s="45">
        <f>1745+300</f>
        <v>2045</v>
      </c>
      <c r="D71" s="36">
        <f t="shared" si="136"/>
        <v>2045</v>
      </c>
      <c r="K71" s="7">
        <f>C71-Y71-AD71</f>
        <v>591.61102500000015</v>
      </c>
      <c r="P71" s="7">
        <f t="shared" si="137"/>
        <v>0</v>
      </c>
      <c r="Y71" s="7">
        <f>0.05*Y17*0.74</f>
        <v>635.38897499999996</v>
      </c>
      <c r="AD71" s="7">
        <f>C71*0.4</f>
        <v>818</v>
      </c>
    </row>
    <row r="72" spans="1:32" x14ac:dyDescent="0.25">
      <c r="A72" s="26">
        <v>100000002977</v>
      </c>
      <c r="B72" s="27" t="s">
        <v>49</v>
      </c>
      <c r="C72" s="45">
        <v>302</v>
      </c>
      <c r="D72" s="36">
        <f t="shared" si="136"/>
        <v>302</v>
      </c>
      <c r="K72" s="7">
        <f>C72-Y72-AD72</f>
        <v>69.577612499999987</v>
      </c>
      <c r="P72" s="7">
        <f t="shared" si="137"/>
        <v>0</v>
      </c>
      <c r="Y72" s="7">
        <f>0.05*Y17*0.13</f>
        <v>111.6223875</v>
      </c>
      <c r="AD72" s="7">
        <f>C72*0.4</f>
        <v>120.80000000000001</v>
      </c>
    </row>
    <row r="73" spans="1:32" x14ac:dyDescent="0.25">
      <c r="A73" s="26">
        <v>100000002978</v>
      </c>
      <c r="B73" s="27" t="s">
        <v>50</v>
      </c>
      <c r="C73" s="45">
        <v>107</v>
      </c>
      <c r="D73" s="36">
        <f t="shared" si="136"/>
        <v>107</v>
      </c>
      <c r="K73" s="7">
        <f>C73-Y73-AD73</f>
        <v>38.309300000000007</v>
      </c>
      <c r="P73" s="7">
        <f t="shared" si="137"/>
        <v>0</v>
      </c>
      <c r="Y73" s="7">
        <f>0.05*Y17*0.08</f>
        <v>68.690699999999993</v>
      </c>
    </row>
    <row r="74" spans="1:32" x14ac:dyDescent="0.25">
      <c r="A74" s="26">
        <v>100000015941</v>
      </c>
      <c r="B74" s="27" t="s">
        <v>51</v>
      </c>
      <c r="C74" s="45">
        <v>96</v>
      </c>
      <c r="D74" s="36">
        <f t="shared" si="136"/>
        <v>96</v>
      </c>
      <c r="K74" s="7">
        <f>C74-Y74-AD74</f>
        <v>53.068312499999998</v>
      </c>
      <c r="P74" s="7">
        <f t="shared" si="137"/>
        <v>0</v>
      </c>
      <c r="Y74" s="7">
        <f>0.05*Y17*0.05</f>
        <v>42.931687500000002</v>
      </c>
    </row>
    <row r="75" spans="1:32" x14ac:dyDescent="0.25">
      <c r="A75" s="26">
        <v>100000017899</v>
      </c>
      <c r="B75" s="27" t="s">
        <v>52</v>
      </c>
      <c r="C75" s="43">
        <v>20</v>
      </c>
      <c r="D75" s="36">
        <f t="shared" si="136"/>
        <v>20</v>
      </c>
      <c r="K75" s="7">
        <f t="shared" si="140"/>
        <v>0</v>
      </c>
      <c r="P75" s="7">
        <f t="shared" si="137"/>
        <v>0</v>
      </c>
      <c r="T75" s="7">
        <f>C75</f>
        <v>20</v>
      </c>
      <c r="Y75" s="7">
        <f t="shared" si="138"/>
        <v>0</v>
      </c>
      <c r="AD75" s="7">
        <v>0</v>
      </c>
    </row>
    <row r="76" spans="1:32" x14ac:dyDescent="0.25">
      <c r="A76" s="26">
        <v>100000017897</v>
      </c>
      <c r="B76" s="27" t="s">
        <v>53</v>
      </c>
      <c r="C76" s="43">
        <f>C66*4.5%</f>
        <v>483.75</v>
      </c>
      <c r="D76" s="36">
        <f t="shared" si="136"/>
        <v>483.75</v>
      </c>
      <c r="K76" s="7">
        <f t="shared" si="140"/>
        <v>0</v>
      </c>
      <c r="P76" s="7">
        <f t="shared" si="137"/>
        <v>0</v>
      </c>
      <c r="T76" s="7">
        <f>C76*0.47</f>
        <v>227.36249999999998</v>
      </c>
      <c r="Y76" s="7">
        <f t="shared" si="138"/>
        <v>0</v>
      </c>
      <c r="AD76" s="7">
        <f>C76*0.53</f>
        <v>256.38749999999999</v>
      </c>
    </row>
    <row r="77" spans="1:32" x14ac:dyDescent="0.25">
      <c r="A77" s="26"/>
      <c r="B77" s="27" t="s">
        <v>121</v>
      </c>
      <c r="C77" s="36">
        <v>0</v>
      </c>
      <c r="D77" s="36">
        <f t="shared" si="136"/>
        <v>0</v>
      </c>
      <c r="K77" s="7">
        <v>0</v>
      </c>
    </row>
    <row r="78" spans="1:32" x14ac:dyDescent="0.25">
      <c r="A78" s="26"/>
      <c r="B78" s="27" t="s">
        <v>122</v>
      </c>
      <c r="C78" s="36">
        <v>0</v>
      </c>
      <c r="D78" s="36">
        <f t="shared" si="136"/>
        <v>0</v>
      </c>
      <c r="K78" s="7">
        <v>0</v>
      </c>
    </row>
    <row r="79" spans="1:32" x14ac:dyDescent="0.25">
      <c r="A79" s="26"/>
      <c r="B79" s="27" t="s">
        <v>127</v>
      </c>
      <c r="C79" s="36"/>
      <c r="D79" s="36"/>
    </row>
    <row r="80" spans="1:32" x14ac:dyDescent="0.25">
      <c r="A80" s="26"/>
      <c r="B80" s="27" t="s">
        <v>128</v>
      </c>
      <c r="C80" s="36"/>
      <c r="D80" s="36"/>
    </row>
    <row r="81" spans="1:32" x14ac:dyDescent="0.25">
      <c r="A81" s="26">
        <v>100000002979</v>
      </c>
      <c r="B81" s="27" t="s">
        <v>54</v>
      </c>
      <c r="C81" s="53"/>
      <c r="D81" s="36">
        <f t="shared" ref="D81:D90" si="143">K81+P81+T81+Y81+AD81</f>
        <v>0</v>
      </c>
      <c r="K81" s="7">
        <f t="shared" si="140"/>
        <v>0</v>
      </c>
      <c r="P81" s="7">
        <f t="shared" si="137"/>
        <v>0</v>
      </c>
      <c r="Y81" s="7">
        <f t="shared" si="138"/>
        <v>0</v>
      </c>
      <c r="AD81" s="7">
        <f t="shared" si="139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143"/>
        <v>700</v>
      </c>
      <c r="K82" s="7">
        <v>700</v>
      </c>
      <c r="P82" s="7">
        <f t="shared" si="137"/>
        <v>0</v>
      </c>
      <c r="Y82" s="7">
        <f t="shared" si="138"/>
        <v>0</v>
      </c>
      <c r="AD82" s="7">
        <f t="shared" si="139"/>
        <v>0</v>
      </c>
    </row>
    <row r="83" spans="1:32" x14ac:dyDescent="0.25">
      <c r="A83" s="26">
        <v>100000021592</v>
      </c>
      <c r="B83" s="27" t="s">
        <v>56</v>
      </c>
      <c r="C83" s="45">
        <v>105</v>
      </c>
      <c r="D83" s="36">
        <f t="shared" si="143"/>
        <v>105</v>
      </c>
      <c r="K83" s="7">
        <f t="shared" si="140"/>
        <v>0</v>
      </c>
      <c r="P83" s="7">
        <f t="shared" si="137"/>
        <v>0</v>
      </c>
      <c r="Y83" s="7">
        <f t="shared" si="138"/>
        <v>0</v>
      </c>
      <c r="AD83" s="7">
        <f>C83</f>
        <v>105</v>
      </c>
    </row>
    <row r="84" spans="1:32" x14ac:dyDescent="0.25">
      <c r="A84" s="26">
        <v>100000023573</v>
      </c>
      <c r="B84" s="27" t="s">
        <v>135</v>
      </c>
      <c r="C84" s="43">
        <v>0</v>
      </c>
      <c r="D84" s="36">
        <f t="shared" si="143"/>
        <v>0</v>
      </c>
      <c r="K84" s="7">
        <f t="shared" si="140"/>
        <v>0</v>
      </c>
      <c r="P84" s="7">
        <f t="shared" si="137"/>
        <v>0</v>
      </c>
      <c r="Y84" s="7">
        <f t="shared" si="138"/>
        <v>0</v>
      </c>
      <c r="AD84" s="7">
        <f t="shared" si="139"/>
        <v>0</v>
      </c>
    </row>
    <row r="85" spans="1:32" x14ac:dyDescent="0.25">
      <c r="A85" s="26">
        <v>100000023571</v>
      </c>
      <c r="B85" s="27" t="s">
        <v>136</v>
      </c>
      <c r="C85" s="43">
        <v>0</v>
      </c>
      <c r="D85" s="36">
        <f t="shared" si="143"/>
        <v>0</v>
      </c>
      <c r="K85" s="7">
        <f t="shared" si="140"/>
        <v>0</v>
      </c>
      <c r="P85" s="7">
        <f t="shared" si="137"/>
        <v>0</v>
      </c>
      <c r="Y85" s="7">
        <f t="shared" si="138"/>
        <v>0</v>
      </c>
      <c r="AD85" s="7">
        <f t="shared" si="139"/>
        <v>0</v>
      </c>
    </row>
    <row r="86" spans="1:32" x14ac:dyDescent="0.25">
      <c r="A86" s="26">
        <v>100000023572</v>
      </c>
      <c r="B86" s="27" t="s">
        <v>61</v>
      </c>
      <c r="C86" s="43">
        <v>0</v>
      </c>
      <c r="D86" s="36">
        <f t="shared" si="143"/>
        <v>0</v>
      </c>
      <c r="K86" s="7">
        <f t="shared" si="140"/>
        <v>0</v>
      </c>
      <c r="P86" s="7">
        <f t="shared" si="137"/>
        <v>0</v>
      </c>
      <c r="Y86" s="7">
        <f t="shared" si="138"/>
        <v>0</v>
      </c>
      <c r="AD86" s="7">
        <f t="shared" si="139"/>
        <v>0</v>
      </c>
    </row>
    <row r="87" spans="1:32" x14ac:dyDescent="0.25">
      <c r="A87" s="26">
        <v>100000023574</v>
      </c>
      <c r="B87" s="27" t="s">
        <v>138</v>
      </c>
      <c r="C87" s="43">
        <v>0</v>
      </c>
      <c r="D87" s="36">
        <f t="shared" si="143"/>
        <v>0</v>
      </c>
      <c r="K87" s="7">
        <f t="shared" si="140"/>
        <v>0</v>
      </c>
      <c r="P87" s="7">
        <f t="shared" si="137"/>
        <v>0</v>
      </c>
      <c r="Y87" s="7">
        <f t="shared" si="138"/>
        <v>0</v>
      </c>
      <c r="AD87" s="7">
        <f t="shared" si="139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143"/>
        <v>0</v>
      </c>
      <c r="K88" s="7">
        <f t="shared" si="140"/>
        <v>0</v>
      </c>
      <c r="P88" s="7">
        <f t="shared" si="137"/>
        <v>0</v>
      </c>
      <c r="Y88" s="7">
        <f t="shared" si="138"/>
        <v>0</v>
      </c>
      <c r="AD88" s="7">
        <f t="shared" si="139"/>
        <v>0</v>
      </c>
    </row>
    <row r="89" spans="1:32" x14ac:dyDescent="0.25">
      <c r="A89" s="26">
        <v>100000025748</v>
      </c>
      <c r="B89" s="27" t="s">
        <v>62</v>
      </c>
      <c r="C89" s="45">
        <v>460</v>
      </c>
      <c r="D89" s="36">
        <f t="shared" si="143"/>
        <v>460</v>
      </c>
      <c r="K89" s="7">
        <f>C89</f>
        <v>460</v>
      </c>
      <c r="P89" s="7">
        <f t="shared" si="137"/>
        <v>0</v>
      </c>
      <c r="Y89" s="7">
        <f t="shared" si="138"/>
        <v>0</v>
      </c>
      <c r="AD89" s="7">
        <f t="shared" si="139"/>
        <v>0</v>
      </c>
    </row>
    <row r="90" spans="1:32" x14ac:dyDescent="0.25">
      <c r="A90" s="26">
        <v>100000025749</v>
      </c>
      <c r="B90" s="28" t="s">
        <v>63</v>
      </c>
      <c r="C90" s="45">
        <v>333</v>
      </c>
      <c r="D90" s="36">
        <f t="shared" si="143"/>
        <v>333</v>
      </c>
      <c r="K90" s="7">
        <f>C90</f>
        <v>333</v>
      </c>
      <c r="P90" s="7">
        <f t="shared" si="137"/>
        <v>0</v>
      </c>
      <c r="Y90" s="7">
        <f t="shared" si="138"/>
        <v>0</v>
      </c>
      <c r="AD90" s="7">
        <f t="shared" si="139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0</v>
      </c>
      <c r="D92" s="36">
        <f>K92+P92+T92+Y92+AD92</f>
        <v>0</v>
      </c>
      <c r="K92" s="7">
        <f t="shared" si="140"/>
        <v>0</v>
      </c>
      <c r="P92" s="7">
        <f t="shared" si="137"/>
        <v>0</v>
      </c>
      <c r="Y92" s="7">
        <f t="shared" si="138"/>
        <v>0</v>
      </c>
      <c r="AD92" s="7">
        <f t="shared" si="139"/>
        <v>0</v>
      </c>
    </row>
    <row r="93" spans="1:32" x14ac:dyDescent="0.25">
      <c r="A93" s="77" t="s">
        <v>65</v>
      </c>
      <c r="B93" s="78"/>
      <c r="C93" s="36">
        <f>SUM(C45:C92)</f>
        <v>89359</v>
      </c>
      <c r="D93" s="36">
        <f>K93+P93+T93+Y93+AD93</f>
        <v>89359.000000000015</v>
      </c>
      <c r="K93" s="36">
        <f>SUM(K45:K92)</f>
        <v>23073.646250000002</v>
      </c>
      <c r="P93" s="36">
        <f>SUM(P45:P92)</f>
        <v>25003.78</v>
      </c>
      <c r="S93" s="36"/>
      <c r="T93" s="36">
        <f>SUM(T45:T92)</f>
        <v>5590.6500000000005</v>
      </c>
      <c r="Y93" s="36">
        <f>SUM(Y45:Y92)</f>
        <v>16457.873750000002</v>
      </c>
      <c r="AD93" s="36">
        <f>SUM(AD45:AD92)</f>
        <v>19233.05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2000</v>
      </c>
      <c r="D95" s="36">
        <f t="shared" ref="D95:D110" si="144">K95+P95+R95+Y95+AD95</f>
        <v>2000</v>
      </c>
      <c r="K95" s="36">
        <f>K70+K47</f>
        <v>0</v>
      </c>
      <c r="N95" s="7">
        <f>P95*0.2</f>
        <v>320</v>
      </c>
      <c r="O95" s="7">
        <f>P95*0.8</f>
        <v>1280</v>
      </c>
      <c r="P95" s="36">
        <f>P70+P47</f>
        <v>1600</v>
      </c>
      <c r="R95" s="36">
        <f>T70+T47</f>
        <v>0</v>
      </c>
      <c r="S95" s="36"/>
      <c r="T95" s="36"/>
      <c r="Y95" s="36">
        <f>Y70+Y47</f>
        <v>0</v>
      </c>
      <c r="AC95" s="7">
        <f>AD95</f>
        <v>400</v>
      </c>
      <c r="AD95" s="36">
        <f>AD70+AD47</f>
        <v>400</v>
      </c>
      <c r="AF95" s="36">
        <f t="shared" ref="AF95:AF110" si="145">K95+P95+R95+Y95+AD95</f>
        <v>2000</v>
      </c>
    </row>
    <row r="96" spans="1:32" x14ac:dyDescent="0.25">
      <c r="A96" s="26">
        <v>100000002975</v>
      </c>
      <c r="B96" s="29" t="s">
        <v>21</v>
      </c>
      <c r="C96" s="36">
        <f>C74+C73+C72+C71</f>
        <v>2550</v>
      </c>
      <c r="D96" s="36">
        <f t="shared" si="144"/>
        <v>2550</v>
      </c>
      <c r="J96" s="7">
        <f>K96</f>
        <v>752.56625000000008</v>
      </c>
      <c r="K96" s="36">
        <f>K74+K73+K72+K71</f>
        <v>752.56625000000008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288.91935000000007</v>
      </c>
      <c r="W96" s="7">
        <f>0.06*SUM(W99:W110)</f>
        <v>284.85719999999998</v>
      </c>
      <c r="X96" s="7">
        <f>0.06*SUM(X99:X110)</f>
        <v>284.85719999999998</v>
      </c>
      <c r="Y96" s="36">
        <f>Y74+Y73+Y72+Y71</f>
        <v>858.63374999999996</v>
      </c>
      <c r="AA96" s="7">
        <f>AD96*0.5</f>
        <v>469.4</v>
      </c>
      <c r="AB96" s="7">
        <f>AD96*0.25</f>
        <v>234.7</v>
      </c>
      <c r="AC96" s="7">
        <f>AD96*0.25</f>
        <v>234.7</v>
      </c>
      <c r="AD96" s="36">
        <f>AD74+AD73+AD72+AD71</f>
        <v>938.8</v>
      </c>
      <c r="AF96" s="36">
        <f t="shared" si="145"/>
        <v>2550</v>
      </c>
    </row>
    <row r="97" spans="1:32" x14ac:dyDescent="0.25">
      <c r="A97" s="26">
        <v>100000002980</v>
      </c>
      <c r="B97" s="29" t="s">
        <v>67</v>
      </c>
      <c r="C97" s="36">
        <v>0</v>
      </c>
      <c r="D97" s="36">
        <f t="shared" si="144"/>
        <v>0</v>
      </c>
      <c r="K97" s="36">
        <v>0</v>
      </c>
      <c r="P97" s="36">
        <v>0</v>
      </c>
      <c r="R97" s="36">
        <v>0</v>
      </c>
      <c r="S97" s="36"/>
      <c r="T97" s="36"/>
      <c r="Y97" s="36">
        <v>0</v>
      </c>
      <c r="AD97" s="36">
        <v>0</v>
      </c>
      <c r="AF97" s="36">
        <f t="shared" si="145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44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45"/>
        <v>0</v>
      </c>
    </row>
    <row r="99" spans="1:32" x14ac:dyDescent="0.25">
      <c r="A99" s="26">
        <v>100000002982</v>
      </c>
      <c r="B99" s="29" t="s">
        <v>69</v>
      </c>
      <c r="C99" s="36">
        <f>C64+C69</f>
        <v>20608</v>
      </c>
      <c r="D99" s="36">
        <f t="shared" si="144"/>
        <v>20608</v>
      </c>
      <c r="H99" s="7">
        <f>K99</f>
        <v>5513.5</v>
      </c>
      <c r="K99" s="36">
        <f>K64+K69</f>
        <v>5513.5</v>
      </c>
      <c r="N99" s="7">
        <f>P99*0.25</f>
        <v>0</v>
      </c>
      <c r="O99" s="7">
        <f>P99*0.75</f>
        <v>0</v>
      </c>
      <c r="P99" s="36">
        <f>P64+P69</f>
        <v>0</v>
      </c>
      <c r="R99" s="36">
        <f>T64+T69</f>
        <v>0</v>
      </c>
      <c r="S99" s="36"/>
      <c r="T99" s="36"/>
      <c r="V99" s="7">
        <f>Y99*0.4</f>
        <v>3220.1600000000003</v>
      </c>
      <c r="W99" s="7">
        <f>Y99*0.3</f>
        <v>2415.12</v>
      </c>
      <c r="X99" s="7">
        <f>Y99*0.3</f>
        <v>2415.12</v>
      </c>
      <c r="Y99" s="36">
        <f>Y64+Y69</f>
        <v>8050.4000000000005</v>
      </c>
      <c r="AC99" s="7">
        <f>AD99</f>
        <v>7044.0999999999995</v>
      </c>
      <c r="AD99" s="36">
        <f>AD64+AD69</f>
        <v>7044.0999999999995</v>
      </c>
      <c r="AF99" s="36">
        <f t="shared" si="145"/>
        <v>20608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44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45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44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45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44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45"/>
        <v>1000</v>
      </c>
    </row>
    <row r="103" spans="1:32" x14ac:dyDescent="0.25">
      <c r="A103" s="26">
        <v>100000006047</v>
      </c>
      <c r="B103" s="29" t="s">
        <v>72</v>
      </c>
      <c r="C103" s="36">
        <f>C53</f>
        <v>18314</v>
      </c>
      <c r="D103" s="36">
        <f t="shared" si="144"/>
        <v>18314</v>
      </c>
      <c r="G103" s="7">
        <f>K103</f>
        <v>8607.58</v>
      </c>
      <c r="K103" s="36">
        <f>K53</f>
        <v>8607.58</v>
      </c>
      <c r="N103" s="7">
        <f>P103</f>
        <v>8607.58</v>
      </c>
      <c r="P103" s="36">
        <f>P53</f>
        <v>8607.58</v>
      </c>
      <c r="R103" s="36">
        <f>T53</f>
        <v>0</v>
      </c>
      <c r="S103" s="36"/>
      <c r="T103" s="36"/>
      <c r="V103" s="7">
        <f>Y103</f>
        <v>1098.8399999999999</v>
      </c>
      <c r="Y103" s="36">
        <f>Y53</f>
        <v>1098.8399999999999</v>
      </c>
      <c r="AD103" s="36">
        <f>AD53</f>
        <v>0</v>
      </c>
      <c r="AF103" s="36">
        <f t="shared" si="145"/>
        <v>18314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1050</v>
      </c>
      <c r="D104" s="36">
        <f t="shared" si="144"/>
        <v>1050</v>
      </c>
      <c r="J104" s="7">
        <f>K104</f>
        <v>1050</v>
      </c>
      <c r="K104" s="36">
        <f>K90+K89+K58+K57+K56+K55</f>
        <v>1050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45"/>
        <v>1050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44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45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44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45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13172</v>
      </c>
      <c r="D107" s="36">
        <f t="shared" si="144"/>
        <v>13171.999999999998</v>
      </c>
      <c r="K107" s="36">
        <f>K65</f>
        <v>0</v>
      </c>
      <c r="O107" s="7">
        <f>P107</f>
        <v>11196.199999999999</v>
      </c>
      <c r="P107" s="36">
        <f>P65</f>
        <v>11196.199999999999</v>
      </c>
      <c r="R107" s="36">
        <f>T65</f>
        <v>0</v>
      </c>
      <c r="S107" s="36"/>
      <c r="T107" s="36"/>
      <c r="Y107" s="36">
        <f>Y65</f>
        <v>0</v>
      </c>
      <c r="AC107" s="7">
        <f>AD107</f>
        <v>1975.8</v>
      </c>
      <c r="AD107" s="36">
        <f>AD65</f>
        <v>1975.8</v>
      </c>
      <c r="AF107" s="36">
        <f t="shared" si="145"/>
        <v>13171.999999999998</v>
      </c>
    </row>
    <row r="108" spans="1:32" x14ac:dyDescent="0.25">
      <c r="A108" s="26">
        <v>100000032221</v>
      </c>
      <c r="B108" s="29" t="s">
        <v>77</v>
      </c>
      <c r="C108" s="36">
        <f>C54</f>
        <v>6000</v>
      </c>
      <c r="D108" s="36">
        <f t="shared" si="144"/>
        <v>6000</v>
      </c>
      <c r="H108" s="7">
        <f>K108</f>
        <v>2400</v>
      </c>
      <c r="K108" s="36">
        <f>K54</f>
        <v>2400</v>
      </c>
      <c r="N108" s="7">
        <f>P108</f>
        <v>3600</v>
      </c>
      <c r="P108" s="36">
        <f>P54</f>
        <v>3600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D108" s="36">
        <f>AD54</f>
        <v>0</v>
      </c>
      <c r="AF108" s="36">
        <f t="shared" si="145"/>
        <v>6000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13415</v>
      </c>
      <c r="D109" s="36">
        <f t="shared" si="144"/>
        <v>13415</v>
      </c>
      <c r="K109" s="36">
        <f>K83+K66+K49+K51+K52+K48+K75+K76</f>
        <v>0</v>
      </c>
      <c r="P109" s="36">
        <f>P83+P66+P49+P51+P52+P48+P75+P76</f>
        <v>0</v>
      </c>
      <c r="R109" s="36">
        <f>T35</f>
        <v>5590.6500000000005</v>
      </c>
      <c r="S109" s="36">
        <f>T36</f>
        <v>0</v>
      </c>
      <c r="T109" s="36">
        <f>T83+T66+T49+T51+T52+T48+T75+T76+T84+T85+T86+T87</f>
        <v>5590.6500000000005</v>
      </c>
      <c r="Y109" s="36">
        <f>Y83+Y66+Y49+Y51+Y52+Y48+Y75+Y76</f>
        <v>0</v>
      </c>
      <c r="AA109" s="7">
        <f>AD35</f>
        <v>5824.3499999999995</v>
      </c>
      <c r="AB109" s="7">
        <f>AD36</f>
        <v>2000</v>
      </c>
      <c r="AD109" s="36">
        <f>AD83+AD66+AD49+AD51+AD52+AD48+AD75+AD76+AD84+AD85+AD86+AD87</f>
        <v>7824.3499999999995</v>
      </c>
      <c r="AF109" s="36">
        <f t="shared" si="145"/>
        <v>13415</v>
      </c>
    </row>
    <row r="110" spans="1:32" x14ac:dyDescent="0.25">
      <c r="B110" s="19" t="s">
        <v>84</v>
      </c>
      <c r="C110" s="16">
        <f>C50</f>
        <v>500</v>
      </c>
      <c r="D110" s="36">
        <f t="shared" si="144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45"/>
        <v>500</v>
      </c>
    </row>
    <row r="111" spans="1:32" x14ac:dyDescent="0.25">
      <c r="B111" s="16" t="s">
        <v>94</v>
      </c>
      <c r="C111" s="16">
        <f>C77</f>
        <v>0</v>
      </c>
      <c r="D111" s="16">
        <v>0</v>
      </c>
    </row>
    <row r="112" spans="1:32" x14ac:dyDescent="0.25">
      <c r="AC112" s="7">
        <f>AC100+AC99</f>
        <v>8094.0999999999995</v>
      </c>
    </row>
    <row r="113" spans="22:29" x14ac:dyDescent="0.25">
      <c r="AC113" s="7">
        <f>AC112/0.8</f>
        <v>10117.624999999998</v>
      </c>
    </row>
    <row r="114" spans="22:29" x14ac:dyDescent="0.25">
      <c r="AC114" s="7">
        <f>AC113*0.27</f>
        <v>2731.7587499999995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BC41:BE41"/>
    <mergeCell ref="BO41:BQ41"/>
    <mergeCell ref="CA41:CC41"/>
    <mergeCell ref="BC25:BG25"/>
    <mergeCell ref="BI25:BM25"/>
    <mergeCell ref="BO25:BS25"/>
    <mergeCell ref="BU25:BY25"/>
    <mergeCell ref="CA25:CE25"/>
    <mergeCell ref="AW25:BA25"/>
    <mergeCell ref="A93:B93"/>
    <mergeCell ref="F6:K6"/>
    <mergeCell ref="M6:P6"/>
    <mergeCell ref="V6:Y6"/>
    <mergeCell ref="AA6:AD6"/>
    <mergeCell ref="AI25:AN25"/>
    <mergeCell ref="AP25:AU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CE117"/>
  <sheetViews>
    <sheetView topLeftCell="B4" zoomScale="84" zoomScaleNormal="84" workbookViewId="0">
      <pane xSplit="4" ySplit="4" topLeftCell="AZ22" activePane="bottomRight" state="frozen"/>
      <selection activeCell="B4" sqref="B4"/>
      <selection pane="topRight" activeCell="F4" sqref="F4"/>
      <selection pane="bottomLeft" activeCell="B8" sqref="B8"/>
      <selection pane="bottomRight" activeCell="BC33" sqref="BC33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2" width="11.140625" style="7" customWidth="1"/>
    <col min="33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5" x14ac:dyDescent="0.25">
      <c r="K3" s="15">
        <f>7000/D53</f>
        <v>0.37650602409638556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5" x14ac:dyDescent="0.25">
      <c r="D4" s="16">
        <v>1250</v>
      </c>
      <c r="G4" s="7">
        <f>G8*0.05</f>
        <v>25</v>
      </c>
      <c r="H4" s="7">
        <f>H8*0.05</f>
        <v>25</v>
      </c>
      <c r="J4" s="7">
        <f>J8*0.41</f>
        <v>110.69999999999999</v>
      </c>
      <c r="K4" s="7">
        <f>K8*0.78*300</f>
        <v>400140</v>
      </c>
      <c r="N4" s="7">
        <f>0.05*500*2*10</f>
        <v>500</v>
      </c>
      <c r="P4" s="7">
        <f>P8*0.78*300</f>
        <v>444600</v>
      </c>
      <c r="R4" s="7">
        <v>208</v>
      </c>
      <c r="T4" s="7">
        <f>T8*0.78*300</f>
        <v>93600</v>
      </c>
      <c r="Y4" s="7">
        <f>Y8*0.78*300</f>
        <v>210600</v>
      </c>
      <c r="AA4" s="7">
        <f t="shared" ref="AA4:AC4" si="0">AA8*0.78*300</f>
        <v>79384.61538461539</v>
      </c>
      <c r="AB4" s="7">
        <f t="shared" si="0"/>
        <v>39692.307692307695</v>
      </c>
      <c r="AC4" s="7">
        <f t="shared" si="0"/>
        <v>163800</v>
      </c>
      <c r="AD4" s="7">
        <f>AD8*0.78*300</f>
        <v>282876.92307692312</v>
      </c>
      <c r="AF4" s="1">
        <f>AD4+Y4+T4+P4+K4</f>
        <v>1431816.923076923</v>
      </c>
      <c r="AH4" s="7">
        <f>AF4*0.78</f>
        <v>1116817.2</v>
      </c>
    </row>
    <row r="6" spans="2:35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5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5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5"/>
      <c r="R8" s="5">
        <f>(4.75*2*24)/0.78</f>
        <v>292.30769230769232</v>
      </c>
      <c r="S8" s="5">
        <f>(3.5*1*24)/0.78</f>
        <v>107.69230769230769</v>
      </c>
      <c r="T8" s="5">
        <f>S8+R8</f>
        <v>400</v>
      </c>
      <c r="U8" s="65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(((240/0.78)*0.08)+240)/0.78</f>
        <v>339.25049309664695</v>
      </c>
      <c r="AB8" s="7">
        <f>(((120/0.78)*0.08)+120)/0.78</f>
        <v>169.62524654832347</v>
      </c>
      <c r="AC8" s="5">
        <v>700</v>
      </c>
      <c r="AD8" s="5">
        <f>SUM(AA8:AC8)</f>
        <v>1208.8757396449705</v>
      </c>
      <c r="AF8" s="1">
        <f>AD8+Y8+T8+P8+K8</f>
        <v>6118.875739644971</v>
      </c>
      <c r="AH8" s="7">
        <f>AF8*0.78</f>
        <v>4772.7230769230773</v>
      </c>
      <c r="AI8" s="7">
        <f>AH8*300</f>
        <v>1431816.9230769232</v>
      </c>
    </row>
    <row r="9" spans="2:35" x14ac:dyDescent="0.25">
      <c r="B9" s="19" t="s">
        <v>10</v>
      </c>
      <c r="F9" s="22">
        <v>0.78</v>
      </c>
      <c r="G9" s="22">
        <v>0.79500000000000004</v>
      </c>
      <c r="H9" s="22">
        <v>0.79500000000000004</v>
      </c>
      <c r="I9" s="22">
        <v>0.79500000000000004</v>
      </c>
      <c r="J9" s="22">
        <v>0.79500000000000004</v>
      </c>
      <c r="K9" s="22"/>
      <c r="L9" s="13"/>
      <c r="M9" s="22">
        <v>0.79500000000000004</v>
      </c>
      <c r="N9" s="22">
        <v>0.79500000000000004</v>
      </c>
      <c r="O9" s="22">
        <v>0.79500000000000004</v>
      </c>
      <c r="P9" s="22"/>
      <c r="Q9" s="12"/>
      <c r="R9" s="22">
        <v>0.8</v>
      </c>
      <c r="S9" s="22">
        <v>0.8</v>
      </c>
      <c r="T9" s="22"/>
      <c r="U9" s="12"/>
      <c r="V9" s="22">
        <v>0.79500000000000004</v>
      </c>
      <c r="W9" s="22">
        <v>0.79500000000000004</v>
      </c>
      <c r="X9" s="22">
        <v>0.79500000000000004</v>
      </c>
      <c r="Y9" s="22"/>
      <c r="Z9" s="14"/>
      <c r="AA9" s="22">
        <v>0.8</v>
      </c>
      <c r="AB9" s="22">
        <v>0.8</v>
      </c>
      <c r="AC9" s="22">
        <v>0.79500000000000004</v>
      </c>
      <c r="AD9" s="22"/>
      <c r="AE9" s="15"/>
      <c r="AF9" s="21"/>
      <c r="AG9" s="15"/>
      <c r="AH9" s="15"/>
    </row>
    <row r="10" spans="2:35" x14ac:dyDescent="0.25">
      <c r="B10" s="19" t="s">
        <v>96</v>
      </c>
      <c r="F10" s="5">
        <f>F8*F9</f>
        <v>171.6</v>
      </c>
      <c r="G10" s="5">
        <f t="shared" ref="G10:J10" si="1">G8*G9</f>
        <v>397.5</v>
      </c>
      <c r="H10" s="5">
        <f t="shared" si="1"/>
        <v>397.5</v>
      </c>
      <c r="I10" s="5">
        <f t="shared" si="1"/>
        <v>174.9</v>
      </c>
      <c r="J10" s="5">
        <f t="shared" si="1"/>
        <v>214.65</v>
      </c>
      <c r="K10" s="5">
        <f>SUM(F10:J10)</f>
        <v>1356.15</v>
      </c>
      <c r="L10" s="3"/>
      <c r="M10" s="5">
        <f t="shared" ref="M10:O10" si="2">M8*M9</f>
        <v>397.5</v>
      </c>
      <c r="N10" s="5">
        <f t="shared" si="2"/>
        <v>556.5</v>
      </c>
      <c r="O10" s="5">
        <f t="shared" si="2"/>
        <v>556.5</v>
      </c>
      <c r="P10" s="5">
        <f>SUM(M10:O10)</f>
        <v>1510.5</v>
      </c>
      <c r="Q10" s="65"/>
      <c r="R10" s="5">
        <f t="shared" ref="R10:S10" si="3">R8*R9</f>
        <v>233.84615384615387</v>
      </c>
      <c r="S10" s="5">
        <f t="shared" si="3"/>
        <v>86.15384615384616</v>
      </c>
      <c r="T10" s="5">
        <f>R10+S10</f>
        <v>320</v>
      </c>
      <c r="U10" s="65"/>
      <c r="V10" s="5">
        <f>V8*V9</f>
        <v>286.2</v>
      </c>
      <c r="W10" s="5">
        <f t="shared" ref="W10:X10" si="4">W8*W9</f>
        <v>214.65</v>
      </c>
      <c r="X10" s="5">
        <f t="shared" si="4"/>
        <v>214.65</v>
      </c>
      <c r="Y10" s="5">
        <f>SUM(V10:X10)</f>
        <v>715.5</v>
      </c>
      <c r="Z10" s="4"/>
      <c r="AA10" s="5">
        <f t="shared" ref="AA10:AC10" si="5">AA8*AA9</f>
        <v>271.40039447731755</v>
      </c>
      <c r="AB10" s="5">
        <f t="shared" si="5"/>
        <v>135.70019723865877</v>
      </c>
      <c r="AC10" s="5">
        <f t="shared" si="5"/>
        <v>556.5</v>
      </c>
      <c r="AD10" s="5">
        <f>SUM(AA10:AC10)</f>
        <v>963.60059171597629</v>
      </c>
      <c r="AF10" s="1">
        <f>AD10+Y10+R10+P10+K10</f>
        <v>4779.5967455621303</v>
      </c>
    </row>
    <row r="11" spans="2:35" x14ac:dyDescent="0.25">
      <c r="B11" s="19" t="s">
        <v>12</v>
      </c>
      <c r="F11" s="5">
        <v>28</v>
      </c>
      <c r="G11" s="5">
        <v>28</v>
      </c>
      <c r="H11" s="5">
        <v>28</v>
      </c>
      <c r="I11" s="5">
        <v>28</v>
      </c>
      <c r="J11" s="5">
        <v>28</v>
      </c>
      <c r="K11" s="5"/>
      <c r="L11" s="3"/>
      <c r="M11" s="5">
        <v>28</v>
      </c>
      <c r="N11" s="5">
        <v>28</v>
      </c>
      <c r="O11" s="5">
        <v>28</v>
      </c>
      <c r="P11" s="5"/>
      <c r="Q11" s="65"/>
      <c r="R11" s="5">
        <v>28</v>
      </c>
      <c r="S11" s="5">
        <v>28</v>
      </c>
      <c r="T11" s="5"/>
      <c r="U11" s="65"/>
      <c r="V11" s="5">
        <v>28</v>
      </c>
      <c r="W11" s="5">
        <v>28</v>
      </c>
      <c r="X11" s="5">
        <v>28</v>
      </c>
      <c r="Y11" s="5"/>
      <c r="Z11" s="4"/>
      <c r="AA11" s="5">
        <v>28</v>
      </c>
      <c r="AB11" s="5">
        <v>28</v>
      </c>
      <c r="AC11" s="5">
        <v>28</v>
      </c>
      <c r="AD11" s="5"/>
      <c r="AF11" s="1"/>
    </row>
    <row r="12" spans="2:35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5"/>
      <c r="R12" s="39">
        <v>0</v>
      </c>
      <c r="S12" s="39">
        <v>0</v>
      </c>
      <c r="T12" s="39"/>
      <c r="U12" s="65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5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5"/>
      <c r="R13" s="22">
        <v>0.25</v>
      </c>
      <c r="S13" s="22">
        <v>0.25</v>
      </c>
      <c r="T13" s="22"/>
      <c r="U13" s="65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5" x14ac:dyDescent="0.25">
      <c r="B14" s="19" t="s">
        <v>14</v>
      </c>
      <c r="F14" s="39">
        <f>1.5+1</f>
        <v>2.5</v>
      </c>
      <c r="G14" s="39">
        <f t="shared" ref="G14:J14" si="6">1.5+1</f>
        <v>2.5</v>
      </c>
      <c r="H14" s="39">
        <f t="shared" si="6"/>
        <v>2.5</v>
      </c>
      <c r="I14" s="39">
        <f t="shared" si="6"/>
        <v>2.5</v>
      </c>
      <c r="J14" s="39">
        <f t="shared" si="6"/>
        <v>2.5</v>
      </c>
      <c r="K14" s="5"/>
      <c r="L14" s="3"/>
      <c r="M14" s="39">
        <f t="shared" ref="M14:O14" si="7">1.5+1</f>
        <v>2.5</v>
      </c>
      <c r="N14" s="39">
        <f t="shared" si="7"/>
        <v>2.5</v>
      </c>
      <c r="O14" s="39">
        <f t="shared" si="7"/>
        <v>2.5</v>
      </c>
      <c r="P14" s="5"/>
      <c r="Q14" s="65"/>
      <c r="R14" s="39">
        <f>2+1</f>
        <v>3</v>
      </c>
      <c r="S14" s="39">
        <f>2+1</f>
        <v>3</v>
      </c>
      <c r="T14" s="39"/>
      <c r="U14" s="65"/>
      <c r="V14" s="39">
        <f t="shared" ref="V14:X14" si="8">1.5+1</f>
        <v>2.5</v>
      </c>
      <c r="W14" s="39">
        <f t="shared" si="8"/>
        <v>2.5</v>
      </c>
      <c r="X14" s="39">
        <f t="shared" si="8"/>
        <v>2.5</v>
      </c>
      <c r="Y14" s="5"/>
      <c r="AA14" s="39">
        <f>2+1</f>
        <v>3</v>
      </c>
      <c r="AB14" s="39">
        <f>2+1</f>
        <v>3</v>
      </c>
      <c r="AC14" s="39">
        <f>1+1</f>
        <v>2</v>
      </c>
      <c r="AD14" s="5"/>
      <c r="AF14" s="1"/>
    </row>
    <row r="15" spans="2:35" x14ac:dyDescent="0.25">
      <c r="B15" s="19" t="s">
        <v>15</v>
      </c>
      <c r="F15" s="40">
        <f>F11-F12-F14-F13</f>
        <v>23.75</v>
      </c>
      <c r="G15" s="40">
        <f t="shared" ref="G15:J15" si="9">G11-G12-G14-G13</f>
        <v>23.75</v>
      </c>
      <c r="H15" s="40">
        <f t="shared" si="9"/>
        <v>23.75</v>
      </c>
      <c r="I15" s="40">
        <f t="shared" si="9"/>
        <v>23.75</v>
      </c>
      <c r="J15" s="40">
        <f t="shared" si="9"/>
        <v>23.75</v>
      </c>
      <c r="K15" s="1"/>
      <c r="M15" s="40">
        <f>M11-M12-M14-M13</f>
        <v>23.75</v>
      </c>
      <c r="N15" s="40">
        <f t="shared" ref="N15:O15" si="10">N11-N12-N14-N13</f>
        <v>23.75</v>
      </c>
      <c r="O15" s="40">
        <f t="shared" si="10"/>
        <v>23.75</v>
      </c>
      <c r="P15" s="1"/>
      <c r="R15" s="40">
        <f>R11-R12-R14-R13</f>
        <v>24.75</v>
      </c>
      <c r="S15" s="40">
        <f>S11-S12-S14-S13</f>
        <v>24.75</v>
      </c>
      <c r="T15" s="40"/>
      <c r="V15" s="40">
        <f t="shared" ref="V15:X15" si="11">V11-V12-V14-V13</f>
        <v>23.75</v>
      </c>
      <c r="W15" s="40">
        <f t="shared" si="11"/>
        <v>23.75</v>
      </c>
      <c r="X15" s="40">
        <f t="shared" si="11"/>
        <v>23.75</v>
      </c>
      <c r="Y15" s="1"/>
      <c r="AA15" s="40">
        <f t="shared" ref="AA15:AC15" si="12">AA11-AA12-AA14-AA13</f>
        <v>24.75</v>
      </c>
      <c r="AB15" s="40">
        <f t="shared" si="12"/>
        <v>24.75</v>
      </c>
      <c r="AC15" s="40">
        <f t="shared" si="12"/>
        <v>24.25</v>
      </c>
      <c r="AD15" s="1"/>
      <c r="AF15" s="1"/>
    </row>
    <row r="16" spans="2:35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3464.1749999999997</v>
      </c>
      <c r="G17" s="1">
        <f t="shared" ref="G17:J17" si="13">G16*G15*G10</f>
        <v>8496.5625</v>
      </c>
      <c r="H17" s="1">
        <f t="shared" si="13"/>
        <v>8496.5625</v>
      </c>
      <c r="I17" s="1">
        <f t="shared" si="13"/>
        <v>3738.4875000000002</v>
      </c>
      <c r="J17" s="1">
        <f t="shared" si="13"/>
        <v>4588.1437500000002</v>
      </c>
      <c r="K17" s="5">
        <f>SUM(F17:J17)</f>
        <v>28783.931249999998</v>
      </c>
      <c r="M17" s="1">
        <f t="shared" ref="M17:O17" si="14">M16*M15*M10</f>
        <v>8496.5625</v>
      </c>
      <c r="N17" s="1">
        <f t="shared" si="14"/>
        <v>11895.1875</v>
      </c>
      <c r="O17" s="1">
        <f t="shared" si="14"/>
        <v>11895.1875</v>
      </c>
      <c r="P17" s="5">
        <f>SUM(M17:O17)</f>
        <v>32286.9375</v>
      </c>
      <c r="R17" s="1">
        <f>R16*R15*R10</f>
        <v>5498.3076923076924</v>
      </c>
      <c r="S17" s="1">
        <f>S16*S15*S10</f>
        <v>2025.6923076923078</v>
      </c>
      <c r="T17" s="1">
        <f>R17+S17</f>
        <v>7524</v>
      </c>
      <c r="V17" s="1">
        <f>V16*V15*V10</f>
        <v>6457.3874999999998</v>
      </c>
      <c r="W17" s="1">
        <f t="shared" ref="W17:X17" si="15">W16*W15*W10</f>
        <v>4843.0406250000005</v>
      </c>
      <c r="X17" s="1">
        <f t="shared" si="15"/>
        <v>4843.0406250000005</v>
      </c>
      <c r="Y17" s="5">
        <f>SUM(V17:X17)</f>
        <v>16143.46875</v>
      </c>
      <c r="AA17" s="70">
        <f>AA16*AA15*AA10</f>
        <v>6045.4437869822486</v>
      </c>
      <c r="AB17" s="70">
        <f>AB16*AB15*AB10</f>
        <v>3022.7218934911243</v>
      </c>
      <c r="AC17" s="1">
        <f t="shared" ref="AC17" si="16">AC16*AC15*AC10</f>
        <v>12145.612499999999</v>
      </c>
      <c r="AD17" s="5">
        <f>SUM(Z17:AC17)</f>
        <v>21213.778180473371</v>
      </c>
      <c r="AF17" s="1">
        <f>AD17+Y17+T17+P17+K17</f>
        <v>105952.11568047336</v>
      </c>
      <c r="AI17" s="46"/>
    </row>
    <row r="19" spans="2:83" x14ac:dyDescent="0.25">
      <c r="B19" s="19" t="s">
        <v>18</v>
      </c>
      <c r="C19" s="16">
        <f>C27+C29+C30+C31+C34+C28</f>
        <v>64728</v>
      </c>
      <c r="D19" s="16">
        <f>D27+D29+D30+D31+D34+D28</f>
        <v>64728</v>
      </c>
      <c r="F19" s="1">
        <f>F17</f>
        <v>3464.1749999999997</v>
      </c>
      <c r="G19" s="1">
        <f t="shared" ref="G19:H19" si="17">G17</f>
        <v>8496.5625</v>
      </c>
      <c r="H19" s="1">
        <f t="shared" si="17"/>
        <v>8496.5625</v>
      </c>
      <c r="I19" s="1"/>
      <c r="J19" s="1"/>
      <c r="K19" s="5">
        <f t="shared" ref="K19:K25" si="18">SUM(F19:J19)</f>
        <v>20457.3</v>
      </c>
      <c r="M19" s="1">
        <f>M17*0.5</f>
        <v>4248.28125</v>
      </c>
      <c r="N19" s="1">
        <f>N17*0.8</f>
        <v>9516.15</v>
      </c>
      <c r="O19" s="1">
        <f>O17</f>
        <v>11895.1875</v>
      </c>
      <c r="P19" s="5">
        <f t="shared" ref="P19:P25" si="19">SUM(M19:O19)</f>
        <v>25659.618750000001</v>
      </c>
      <c r="R19" s="1"/>
      <c r="S19" s="1"/>
      <c r="T19" s="1">
        <f t="shared" ref="T19:T24" si="20">R19+S19</f>
        <v>0</v>
      </c>
      <c r="V19" s="1">
        <f>V17-V23</f>
        <v>5970.0375000000004</v>
      </c>
      <c r="W19" s="1">
        <f t="shared" ref="W19:X19" si="21">W17-W23</f>
        <v>4477.5281250000007</v>
      </c>
      <c r="X19" s="1">
        <f t="shared" si="21"/>
        <v>4477.5281250000007</v>
      </c>
      <c r="Y19" s="5">
        <f t="shared" ref="Y19:Y25" si="22">SUM(V19:X19)</f>
        <v>14925.093750000002</v>
      </c>
      <c r="AA19" s="1"/>
      <c r="AB19" s="1"/>
      <c r="AC19" s="1">
        <f>AC17*0.95</f>
        <v>11538.331874999998</v>
      </c>
      <c r="AD19" s="5">
        <f t="shared" ref="AD19:AD25" si="23">SUM(Z19:AC19)</f>
        <v>11538.331874999998</v>
      </c>
      <c r="AF19" s="1">
        <f t="shared" ref="AF19:AF25" si="24">AD19+Y19+R19+P19+K19</f>
        <v>72580.344375000001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J17*0.42</f>
        <v>1927.0203750000001</v>
      </c>
      <c r="K20" s="5">
        <f t="shared" si="18"/>
        <v>1927.0203750000001</v>
      </c>
      <c r="M20" s="1"/>
      <c r="N20" s="1"/>
      <c r="O20" s="1"/>
      <c r="P20" s="5">
        <f t="shared" si="19"/>
        <v>0</v>
      </c>
      <c r="R20" s="1"/>
      <c r="S20" s="1"/>
      <c r="T20" s="1">
        <f t="shared" si="20"/>
        <v>0</v>
      </c>
      <c r="V20" s="1"/>
      <c r="W20" s="1"/>
      <c r="X20" s="1"/>
      <c r="Y20" s="5">
        <f t="shared" si="22"/>
        <v>0</v>
      </c>
      <c r="AA20" s="1"/>
      <c r="AB20" s="1"/>
      <c r="AC20" s="1"/>
      <c r="AD20" s="5"/>
      <c r="AF20" s="1">
        <f t="shared" si="24"/>
        <v>1927.0203750000001</v>
      </c>
    </row>
    <row r="21" spans="2:83" x14ac:dyDescent="0.25">
      <c r="B21" s="19" t="s">
        <v>19</v>
      </c>
      <c r="C21" s="16">
        <f>C33</f>
        <v>2700</v>
      </c>
      <c r="D21" s="16">
        <f>D33</f>
        <v>2700</v>
      </c>
      <c r="F21" s="1"/>
      <c r="G21" s="1"/>
      <c r="H21" s="1"/>
      <c r="I21" s="1"/>
      <c r="J21" s="1"/>
      <c r="K21" s="5">
        <f t="shared" si="18"/>
        <v>0</v>
      </c>
      <c r="M21" s="1">
        <f>M17*0.5</f>
        <v>4248.28125</v>
      </c>
      <c r="N21" s="1">
        <f>N17*0.2</f>
        <v>2379.0374999999999</v>
      </c>
      <c r="O21" s="1"/>
      <c r="P21" s="5">
        <f t="shared" si="19"/>
        <v>6627.3187500000004</v>
      </c>
      <c r="R21" s="1"/>
      <c r="S21" s="1"/>
      <c r="T21" s="1">
        <f t="shared" si="20"/>
        <v>0</v>
      </c>
      <c r="V21" s="1"/>
      <c r="W21" s="1"/>
      <c r="X21" s="1"/>
      <c r="Y21" s="5">
        <f t="shared" si="22"/>
        <v>0</v>
      </c>
      <c r="AA21" s="1"/>
      <c r="AB21" s="1"/>
      <c r="AC21" s="1"/>
      <c r="AD21" s="5">
        <f t="shared" si="23"/>
        <v>0</v>
      </c>
      <c r="AF21" s="1">
        <f t="shared" si="24"/>
        <v>6627.3187500000004</v>
      </c>
    </row>
    <row r="22" spans="2:83" x14ac:dyDescent="0.25">
      <c r="B22" s="19" t="s">
        <v>20</v>
      </c>
      <c r="C22" s="16">
        <f>C32</f>
        <v>2298</v>
      </c>
      <c r="D22" s="16">
        <f>D32</f>
        <v>2298</v>
      </c>
      <c r="F22" s="1"/>
      <c r="G22" s="1"/>
      <c r="H22" s="1"/>
      <c r="I22" s="1">
        <f>I17</f>
        <v>3738.4875000000002</v>
      </c>
      <c r="J22" s="1"/>
      <c r="K22" s="5">
        <f t="shared" si="18"/>
        <v>3738.4875000000002</v>
      </c>
      <c r="M22" s="1"/>
      <c r="N22" s="1"/>
      <c r="O22" s="1"/>
      <c r="P22" s="5">
        <f t="shared" si="19"/>
        <v>0</v>
      </c>
      <c r="R22" s="1"/>
      <c r="S22" s="1"/>
      <c r="T22" s="1">
        <f t="shared" si="20"/>
        <v>0</v>
      </c>
      <c r="V22" s="1"/>
      <c r="W22" s="1"/>
      <c r="X22" s="1"/>
      <c r="Y22" s="5">
        <f t="shared" si="22"/>
        <v>0</v>
      </c>
      <c r="AA22" s="1"/>
      <c r="AB22" s="1"/>
      <c r="AC22" s="1"/>
      <c r="AD22" s="5">
        <f t="shared" si="23"/>
        <v>0</v>
      </c>
      <c r="AF22" s="1">
        <f t="shared" si="24"/>
        <v>3738.4875000000002</v>
      </c>
    </row>
    <row r="23" spans="2:83" x14ac:dyDescent="0.25">
      <c r="B23" s="19" t="s">
        <v>21</v>
      </c>
      <c r="C23" s="16">
        <f>C37+C38+C39</f>
        <v>3971</v>
      </c>
      <c r="D23" s="16">
        <f>D37+D38+D39</f>
        <v>3971</v>
      </c>
      <c r="F23" s="1"/>
      <c r="G23" s="1"/>
      <c r="H23" s="1"/>
      <c r="I23" s="1"/>
      <c r="J23" s="1">
        <f>J17*0.58</f>
        <v>2661.1233750000001</v>
      </c>
      <c r="K23" s="5">
        <f t="shared" si="18"/>
        <v>2661.1233750000001</v>
      </c>
      <c r="M23" s="1"/>
      <c r="N23" s="1"/>
      <c r="O23" s="1"/>
      <c r="P23" s="5">
        <f t="shared" si="19"/>
        <v>0</v>
      </c>
      <c r="R23" s="1"/>
      <c r="S23" s="1"/>
      <c r="T23" s="1">
        <f t="shared" si="20"/>
        <v>0</v>
      </c>
      <c r="V23" s="1">
        <f>(V17/V9)*0.06</f>
        <v>487.34999999999991</v>
      </c>
      <c r="W23" s="1">
        <f t="shared" ref="W23:X23" si="25">(W17/W9)*0.06</f>
        <v>365.51249999999999</v>
      </c>
      <c r="X23" s="1">
        <f t="shared" si="25"/>
        <v>365.51249999999999</v>
      </c>
      <c r="Y23" s="5">
        <f t="shared" si="22"/>
        <v>1218.375</v>
      </c>
      <c r="AA23" s="1">
        <f>AA17*0.08</f>
        <v>483.63550295857988</v>
      </c>
      <c r="AB23" s="1">
        <f>AB17*0.08</f>
        <v>241.81775147928994</v>
      </c>
      <c r="AC23" s="1">
        <f>AC17*0.05</f>
        <v>607.28062499999999</v>
      </c>
      <c r="AD23" s="5">
        <f t="shared" si="23"/>
        <v>1332.7338794378697</v>
      </c>
      <c r="AF23" s="1">
        <f t="shared" si="24"/>
        <v>5212.2322544378694</v>
      </c>
    </row>
    <row r="24" spans="2:83" x14ac:dyDescent="0.25">
      <c r="B24" s="19" t="s">
        <v>91</v>
      </c>
      <c r="C24" s="16">
        <f>C35</f>
        <v>11277.199999999999</v>
      </c>
      <c r="D24" s="16">
        <f>D35</f>
        <v>11277.199999999999</v>
      </c>
      <c r="F24" s="1"/>
      <c r="G24" s="1"/>
      <c r="H24" s="1"/>
      <c r="I24" s="1"/>
      <c r="J24" s="1"/>
      <c r="K24" s="5">
        <f t="shared" si="18"/>
        <v>0</v>
      </c>
      <c r="M24" s="1"/>
      <c r="N24" s="1"/>
      <c r="O24" s="1"/>
      <c r="P24" s="5">
        <f t="shared" si="19"/>
        <v>0</v>
      </c>
      <c r="R24" s="1">
        <f>R17</f>
        <v>5498.3076923076924</v>
      </c>
      <c r="S24" s="1"/>
      <c r="T24" s="1">
        <f t="shared" si="20"/>
        <v>5498.3076923076924</v>
      </c>
      <c r="V24" s="1"/>
      <c r="W24" s="1"/>
      <c r="X24" s="1"/>
      <c r="Y24" s="5">
        <f t="shared" si="22"/>
        <v>0</v>
      </c>
      <c r="AA24" s="1">
        <f>AA17-AA23</f>
        <v>5561.8082840236684</v>
      </c>
      <c r="AB24" s="1"/>
      <c r="AC24" s="1"/>
      <c r="AD24" s="5">
        <f t="shared" si="23"/>
        <v>5561.8082840236684</v>
      </c>
      <c r="AF24" s="1">
        <f t="shared" si="24"/>
        <v>11060.115976331361</v>
      </c>
    </row>
    <row r="25" spans="2:83" x14ac:dyDescent="0.25">
      <c r="B25" s="19" t="s">
        <v>126</v>
      </c>
      <c r="C25" s="16">
        <f>C36</f>
        <v>1780</v>
      </c>
      <c r="D25" s="16">
        <f>D36</f>
        <v>1780</v>
      </c>
      <c r="F25" s="1"/>
      <c r="G25" s="1"/>
      <c r="H25" s="1"/>
      <c r="I25" s="1"/>
      <c r="J25" s="1"/>
      <c r="K25" s="5">
        <f t="shared" si="18"/>
        <v>0</v>
      </c>
      <c r="M25" s="1"/>
      <c r="N25" s="1"/>
      <c r="O25" s="1"/>
      <c r="P25" s="5">
        <f t="shared" si="19"/>
        <v>0</v>
      </c>
      <c r="R25" s="1"/>
      <c r="S25" s="1">
        <f t="shared" ref="S25" si="26">S17</f>
        <v>2025.6923076923078</v>
      </c>
      <c r="T25" s="1">
        <f>R25+S25</f>
        <v>2025.6923076923078</v>
      </c>
      <c r="V25" s="1"/>
      <c r="W25" s="1"/>
      <c r="X25" s="1"/>
      <c r="Y25" s="5">
        <f t="shared" si="22"/>
        <v>0</v>
      </c>
      <c r="AA25" s="1"/>
      <c r="AB25" s="1">
        <f>AB17-AB23</f>
        <v>2780.9041420118342</v>
      </c>
      <c r="AC25" s="1"/>
      <c r="AD25" s="5">
        <f t="shared" si="23"/>
        <v>2780.9041420118342</v>
      </c>
      <c r="AF25" s="1">
        <f t="shared" si="24"/>
        <v>2780.9041420118342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5"/>
      <c r="P26" s="65"/>
      <c r="Y26" s="65"/>
      <c r="AD26" s="65"/>
      <c r="AH26" s="59"/>
      <c r="AI26" s="63" t="s">
        <v>104</v>
      </c>
      <c r="AJ26" s="63" t="s">
        <v>0</v>
      </c>
      <c r="AK26" s="63" t="s">
        <v>1</v>
      </c>
      <c r="AL26" s="63" t="s">
        <v>105</v>
      </c>
      <c r="AM26" s="63" t="s">
        <v>3</v>
      </c>
      <c r="AN26" s="63" t="s">
        <v>119</v>
      </c>
      <c r="AP26" s="64" t="s">
        <v>104</v>
      </c>
      <c r="AQ26" s="64" t="s">
        <v>0</v>
      </c>
      <c r="AR26" s="64" t="s">
        <v>1</v>
      </c>
      <c r="AS26" s="64" t="s">
        <v>105</v>
      </c>
      <c r="AT26" s="64" t="s">
        <v>3</v>
      </c>
      <c r="AU26" s="64" t="s">
        <v>119</v>
      </c>
      <c r="AW26" s="62" t="s">
        <v>104</v>
      </c>
      <c r="AX26" s="62" t="s">
        <v>0</v>
      </c>
      <c r="AY26" s="62" t="s">
        <v>1</v>
      </c>
      <c r="AZ26" s="62" t="s">
        <v>105</v>
      </c>
      <c r="BA26" s="62" t="s">
        <v>3</v>
      </c>
      <c r="BC26" s="62" t="s">
        <v>104</v>
      </c>
      <c r="BD26" s="62" t="s">
        <v>0</v>
      </c>
      <c r="BE26" s="62" t="s">
        <v>1</v>
      </c>
      <c r="BF26" s="62" t="s">
        <v>105</v>
      </c>
      <c r="BG26" s="62" t="s">
        <v>3</v>
      </c>
      <c r="BI26" s="62" t="s">
        <v>104</v>
      </c>
      <c r="BJ26" s="62" t="s">
        <v>0</v>
      </c>
      <c r="BK26" s="62" t="s">
        <v>1</v>
      </c>
      <c r="BL26" s="62" t="s">
        <v>105</v>
      </c>
      <c r="BM26" s="62" t="s">
        <v>3</v>
      </c>
      <c r="BO26" s="62" t="s">
        <v>104</v>
      </c>
      <c r="BP26" s="62" t="s">
        <v>0</v>
      </c>
      <c r="BQ26" s="62" t="s">
        <v>1</v>
      </c>
      <c r="BR26" s="62" t="s">
        <v>105</v>
      </c>
      <c r="BS26" s="62" t="s">
        <v>3</v>
      </c>
      <c r="BU26" s="62" t="s">
        <v>104</v>
      </c>
      <c r="BV26" s="62" t="s">
        <v>0</v>
      </c>
      <c r="BW26" s="62" t="s">
        <v>1</v>
      </c>
      <c r="BX26" s="62" t="s">
        <v>105</v>
      </c>
      <c r="BY26" s="62" t="s">
        <v>3</v>
      </c>
      <c r="CA26" s="62" t="s">
        <v>104</v>
      </c>
      <c r="CB26" s="62" t="s">
        <v>0</v>
      </c>
      <c r="CC26" s="62" t="s">
        <v>1</v>
      </c>
      <c r="CD26" s="62" t="s">
        <v>105</v>
      </c>
      <c r="CE26" s="62" t="s">
        <v>3</v>
      </c>
    </row>
    <row r="27" spans="2:83" x14ac:dyDescent="0.25">
      <c r="B27" s="16" t="s">
        <v>114</v>
      </c>
      <c r="C27" s="16">
        <f>C64+C68+C69+C82</f>
        <v>21524</v>
      </c>
      <c r="D27" s="16">
        <f>D64+D68+D69+D82</f>
        <v>21524</v>
      </c>
      <c r="F27" s="16">
        <f t="shared" ref="F27:K27" si="27">F64+F68+F69+F82</f>
        <v>0</v>
      </c>
      <c r="G27" s="16">
        <f t="shared" si="27"/>
        <v>0</v>
      </c>
      <c r="H27" s="16">
        <f t="shared" si="27"/>
        <v>0</v>
      </c>
      <c r="I27" s="16">
        <f t="shared" si="27"/>
        <v>0</v>
      </c>
      <c r="J27" s="16">
        <f t="shared" si="27"/>
        <v>0</v>
      </c>
      <c r="K27" s="16">
        <f t="shared" si="27"/>
        <v>6695.88</v>
      </c>
      <c r="M27" s="16">
        <f t="shared" ref="M27:P27" si="28">M64+M68+M69+M82</f>
        <v>0</v>
      </c>
      <c r="N27" s="16">
        <f t="shared" si="28"/>
        <v>0</v>
      </c>
      <c r="O27" s="16">
        <f t="shared" si="28"/>
        <v>0</v>
      </c>
      <c r="P27" s="16">
        <f t="shared" si="28"/>
        <v>0</v>
      </c>
      <c r="S27" s="16"/>
      <c r="T27" s="16">
        <f>T64+T68+T69+T82</f>
        <v>0</v>
      </c>
      <c r="V27" s="16">
        <f t="shared" ref="V27:Y27" si="29">V64+V68+V69+V82</f>
        <v>0</v>
      </c>
      <c r="W27" s="16">
        <f t="shared" si="29"/>
        <v>0</v>
      </c>
      <c r="X27" s="16">
        <f t="shared" si="29"/>
        <v>0</v>
      </c>
      <c r="Y27" s="16">
        <f t="shared" si="29"/>
        <v>8015.2000000000007</v>
      </c>
      <c r="AA27" s="16">
        <f t="shared" ref="AA27:AD27" si="30">AA64+AA68+AA69+AA82</f>
        <v>0</v>
      </c>
      <c r="AB27" s="16">
        <f t="shared" si="30"/>
        <v>0</v>
      </c>
      <c r="AC27" s="16">
        <f t="shared" si="30"/>
        <v>0</v>
      </c>
      <c r="AD27" s="16">
        <f t="shared" si="30"/>
        <v>6812.92</v>
      </c>
      <c r="AH27" s="59" t="str">
        <f>B27</f>
        <v>Mix and Bake</v>
      </c>
      <c r="AI27" s="1">
        <f>K27</f>
        <v>6695.88</v>
      </c>
      <c r="AJ27" s="1">
        <f>P27</f>
        <v>0</v>
      </c>
      <c r="AK27" s="1">
        <f t="shared" ref="AK27:AK39" si="31">T27</f>
        <v>0</v>
      </c>
      <c r="AL27" s="1">
        <f>Y27</f>
        <v>8015.2000000000007</v>
      </c>
      <c r="AM27" s="1">
        <f>AD27</f>
        <v>6812.92</v>
      </c>
      <c r="AN27" s="1">
        <f>SUM(AI27:AM27)</f>
        <v>21524</v>
      </c>
      <c r="AP27" s="7">
        <f>AI27/0.78</f>
        <v>8584.461538461539</v>
      </c>
      <c r="AQ27" s="7">
        <f>AJ27/0.78</f>
        <v>0</v>
      </c>
      <c r="AR27" s="7">
        <f>AK27/0.78</f>
        <v>0</v>
      </c>
      <c r="AS27" s="7">
        <f>AL27/0.78</f>
        <v>10275.897435897436</v>
      </c>
      <c r="AT27" s="7">
        <f>AM27/0.78</f>
        <v>8734.5128205128203</v>
      </c>
      <c r="AU27" s="7">
        <f>SUM(AP27:AT27)</f>
        <v>27594.871794871797</v>
      </c>
      <c r="AW27" s="46">
        <v>0.3</v>
      </c>
      <c r="AX27" s="46">
        <v>0.3</v>
      </c>
      <c r="AY27" s="72"/>
      <c r="AZ27" s="46">
        <v>0.3</v>
      </c>
      <c r="BA27" s="46">
        <v>0.3</v>
      </c>
      <c r="BC27" s="7">
        <f>AW27*AP27</f>
        <v>2575.3384615384616</v>
      </c>
      <c r="BD27" s="7">
        <f>AX27*AQ27</f>
        <v>0</v>
      </c>
      <c r="BE27" s="7">
        <f>AY27*AR27</f>
        <v>0</v>
      </c>
      <c r="BF27" s="7">
        <f>AZ27*AS27</f>
        <v>3082.7692307692305</v>
      </c>
      <c r="BG27" s="7">
        <f>BA27*AT27</f>
        <v>2620.353846153846</v>
      </c>
      <c r="BI27" s="46">
        <v>0.7</v>
      </c>
      <c r="BJ27" s="46">
        <v>0.7</v>
      </c>
      <c r="BK27" s="72"/>
      <c r="BL27" s="46">
        <v>0.7</v>
      </c>
      <c r="BM27" s="46">
        <v>0.7</v>
      </c>
      <c r="BO27" s="7">
        <f>BI27*AP27</f>
        <v>6009.123076923077</v>
      </c>
      <c r="BP27" s="7">
        <f>BJ27*AQ27</f>
        <v>0</v>
      </c>
      <c r="BQ27" s="7">
        <f>BK27*AR27</f>
        <v>0</v>
      </c>
      <c r="BR27" s="7">
        <f>BL27*AS27</f>
        <v>7193.1282051282042</v>
      </c>
      <c r="BS27" s="7">
        <f>BM27*AT27</f>
        <v>6114.1589743589739</v>
      </c>
      <c r="BU27" s="72"/>
      <c r="BV27" s="72"/>
      <c r="BW27" s="72"/>
      <c r="BX27" s="72"/>
      <c r="BY27" s="72"/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32">F63</f>
        <v>0</v>
      </c>
      <c r="G28" s="16">
        <f t="shared" si="32"/>
        <v>0</v>
      </c>
      <c r="H28" s="16">
        <f t="shared" si="32"/>
        <v>0</v>
      </c>
      <c r="I28" s="16">
        <f t="shared" si="32"/>
        <v>0</v>
      </c>
      <c r="J28" s="16">
        <f t="shared" si="32"/>
        <v>0</v>
      </c>
      <c r="K28" s="16">
        <f t="shared" si="32"/>
        <v>0</v>
      </c>
      <c r="M28" s="16">
        <f t="shared" ref="M28:P28" si="33">M63</f>
        <v>0</v>
      </c>
      <c r="N28" s="16">
        <f t="shared" si="33"/>
        <v>0</v>
      </c>
      <c r="O28" s="16">
        <f t="shared" si="33"/>
        <v>0</v>
      </c>
      <c r="P28" s="16">
        <f t="shared" si="33"/>
        <v>0</v>
      </c>
      <c r="S28" s="16"/>
      <c r="T28" s="16">
        <f>T63</f>
        <v>0</v>
      </c>
      <c r="V28" s="16">
        <f t="shared" ref="V28:Y28" si="34">V63</f>
        <v>0</v>
      </c>
      <c r="W28" s="16">
        <f t="shared" si="34"/>
        <v>0</v>
      </c>
      <c r="X28" s="16">
        <f t="shared" si="34"/>
        <v>0</v>
      </c>
      <c r="Y28" s="16">
        <f t="shared" si="34"/>
        <v>5950</v>
      </c>
      <c r="AA28" s="16">
        <f t="shared" ref="AA28:AD28" si="35">AA63</f>
        <v>0</v>
      </c>
      <c r="AB28" s="16">
        <f t="shared" si="35"/>
        <v>0</v>
      </c>
      <c r="AC28" s="16">
        <f t="shared" si="35"/>
        <v>0</v>
      </c>
      <c r="AD28" s="16">
        <f t="shared" si="35"/>
        <v>1050</v>
      </c>
      <c r="AH28" s="59" t="str">
        <f>B28</f>
        <v>Mix and Bake [SE]</v>
      </c>
      <c r="AI28" s="1">
        <f t="shared" ref="AI28:AI39" si="36">K28</f>
        <v>0</v>
      </c>
      <c r="AJ28" s="1">
        <f t="shared" ref="AJ28:AJ39" si="37">P28</f>
        <v>0</v>
      </c>
      <c r="AK28" s="1">
        <f t="shared" si="31"/>
        <v>0</v>
      </c>
      <c r="AL28" s="1">
        <f t="shared" ref="AL28:AL39" si="38">Y28</f>
        <v>5950</v>
      </c>
      <c r="AM28" s="1">
        <f t="shared" ref="AM28:AM39" si="39">AD28</f>
        <v>1050</v>
      </c>
      <c r="AN28" s="1">
        <f t="shared" ref="AN28:AN39" si="40">SUM(AI28:AM28)</f>
        <v>7000</v>
      </c>
      <c r="AP28" s="7">
        <f t="shared" ref="AP28:AU40" si="41">AI28/0.78</f>
        <v>0</v>
      </c>
      <c r="AQ28" s="7">
        <f t="shared" si="41"/>
        <v>0</v>
      </c>
      <c r="AR28" s="7">
        <f t="shared" si="41"/>
        <v>0</v>
      </c>
      <c r="AS28" s="7">
        <f t="shared" si="41"/>
        <v>7628.2051282051279</v>
      </c>
      <c r="AT28" s="7">
        <f t="shared" si="41"/>
        <v>1346.1538461538462</v>
      </c>
      <c r="AU28" s="7">
        <f t="shared" ref="AU28:AU39" si="42">SUM(AP28:AT28)</f>
        <v>8974.3589743589746</v>
      </c>
      <c r="AW28" s="72"/>
      <c r="AX28" s="72"/>
      <c r="AY28" s="72"/>
      <c r="AZ28" s="46">
        <v>0.35</v>
      </c>
      <c r="BA28" s="46">
        <v>0.35</v>
      </c>
      <c r="BC28" s="7">
        <f t="shared" ref="BC28:BG39" si="43">AW28*AP28</f>
        <v>0</v>
      </c>
      <c r="BD28" s="7">
        <f t="shared" si="43"/>
        <v>0</v>
      </c>
      <c r="BE28" s="7">
        <f t="shared" si="43"/>
        <v>0</v>
      </c>
      <c r="BF28" s="7">
        <f t="shared" si="43"/>
        <v>2669.8717948717945</v>
      </c>
      <c r="BG28" s="7">
        <f t="shared" si="43"/>
        <v>471.15384615384613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44">BJ28*AQ28</f>
        <v>0</v>
      </c>
      <c r="BQ28" s="7">
        <f t="shared" si="44"/>
        <v>0</v>
      </c>
      <c r="BR28" s="7">
        <f t="shared" si="44"/>
        <v>4958.333333333333</v>
      </c>
      <c r="BS28" s="7">
        <f t="shared" si="44"/>
        <v>875</v>
      </c>
      <c r="BU28" s="72"/>
      <c r="BV28" s="72"/>
      <c r="BW28" s="72"/>
      <c r="BX28" s="72"/>
      <c r="BY28" s="72"/>
      <c r="CA28" s="7">
        <f>BU28*AP28</f>
        <v>0</v>
      </c>
      <c r="CB28" s="7">
        <f t="shared" ref="CB28:CE39" si="45">BV28*AQ28</f>
        <v>0</v>
      </c>
      <c r="CC28" s="7">
        <f t="shared" si="45"/>
        <v>0</v>
      </c>
      <c r="CD28" s="7">
        <f t="shared" si="45"/>
        <v>0</v>
      </c>
      <c r="CE28" s="7">
        <f t="shared" si="45"/>
        <v>0</v>
      </c>
    </row>
    <row r="29" spans="2:83" x14ac:dyDescent="0.25">
      <c r="B29" s="16" t="s">
        <v>87</v>
      </c>
      <c r="C29" s="16">
        <f>C53+C92</f>
        <v>18592</v>
      </c>
      <c r="D29" s="16">
        <f>D53+D92</f>
        <v>18592</v>
      </c>
      <c r="F29" s="16">
        <f t="shared" ref="F29:J29" si="46">F53</f>
        <v>0</v>
      </c>
      <c r="G29" s="16">
        <f t="shared" si="46"/>
        <v>0</v>
      </c>
      <c r="H29" s="16">
        <f t="shared" si="46"/>
        <v>0</v>
      </c>
      <c r="I29" s="16">
        <f t="shared" si="46"/>
        <v>0</v>
      </c>
      <c r="J29" s="16">
        <f t="shared" si="46"/>
        <v>0</v>
      </c>
      <c r="K29" s="16">
        <f>K53+K92</f>
        <v>0</v>
      </c>
      <c r="M29" s="16">
        <f t="shared" ref="M29:O29" si="47">M53</f>
        <v>0</v>
      </c>
      <c r="N29" s="16">
        <f t="shared" si="47"/>
        <v>0</v>
      </c>
      <c r="O29" s="16">
        <f t="shared" si="47"/>
        <v>0</v>
      </c>
      <c r="P29" s="16">
        <f>P53+P92</f>
        <v>17104.64</v>
      </c>
      <c r="S29" s="16">
        <f>S53+S92</f>
        <v>0</v>
      </c>
      <c r="T29" s="16">
        <f>T53+T92</f>
        <v>0</v>
      </c>
      <c r="V29" s="16">
        <f t="shared" ref="V29:X29" si="48">V53</f>
        <v>0</v>
      </c>
      <c r="W29" s="16">
        <f t="shared" si="48"/>
        <v>0</v>
      </c>
      <c r="X29" s="16">
        <f t="shared" si="48"/>
        <v>0</v>
      </c>
      <c r="Y29" s="16">
        <f>Y53+Y92</f>
        <v>1487.3600000000001</v>
      </c>
      <c r="AA29" s="16">
        <f t="shared" ref="AA29:AC29" si="49">AA53</f>
        <v>0</v>
      </c>
      <c r="AB29" s="16">
        <f t="shared" si="49"/>
        <v>0</v>
      </c>
      <c r="AC29" s="16">
        <f t="shared" si="49"/>
        <v>0</v>
      </c>
      <c r="AD29" s="16">
        <f>AD53+AD92</f>
        <v>0</v>
      </c>
      <c r="AH29" s="59" t="str">
        <f t="shared" ref="AH29:AH39" si="50">B29</f>
        <v>MGF</v>
      </c>
      <c r="AI29" s="1">
        <f t="shared" si="36"/>
        <v>0</v>
      </c>
      <c r="AJ29" s="1">
        <f t="shared" si="37"/>
        <v>17104.64</v>
      </c>
      <c r="AK29" s="1">
        <f t="shared" si="31"/>
        <v>0</v>
      </c>
      <c r="AL29" s="1">
        <f t="shared" si="38"/>
        <v>1487.3600000000001</v>
      </c>
      <c r="AM29" s="1">
        <f t="shared" si="39"/>
        <v>0</v>
      </c>
      <c r="AN29" s="1">
        <f t="shared" si="40"/>
        <v>18592</v>
      </c>
      <c r="AP29" s="7">
        <f t="shared" si="41"/>
        <v>0</v>
      </c>
      <c r="AQ29" s="7">
        <f t="shared" si="41"/>
        <v>21929.025641025641</v>
      </c>
      <c r="AR29" s="7">
        <f t="shared" si="41"/>
        <v>0</v>
      </c>
      <c r="AS29" s="7">
        <f t="shared" si="41"/>
        <v>1906.8717948717949</v>
      </c>
      <c r="AT29" s="7">
        <f t="shared" si="41"/>
        <v>0</v>
      </c>
      <c r="AU29" s="7">
        <f t="shared" si="42"/>
        <v>23835.897435897437</v>
      </c>
      <c r="AW29" s="46">
        <v>0.6</v>
      </c>
      <c r="AX29" s="46">
        <v>0.6</v>
      </c>
      <c r="AY29" s="72"/>
      <c r="AZ29" s="46">
        <v>0.6</v>
      </c>
      <c r="BA29" s="72"/>
      <c r="BC29" s="7">
        <f t="shared" si="43"/>
        <v>0</v>
      </c>
      <c r="BD29" s="7">
        <f t="shared" si="43"/>
        <v>13157.415384615384</v>
      </c>
      <c r="BE29" s="7">
        <f t="shared" si="43"/>
        <v>0</v>
      </c>
      <c r="BF29" s="7">
        <f t="shared" si="43"/>
        <v>1144.123076923077</v>
      </c>
      <c r="BG29" s="7">
        <f t="shared" si="43"/>
        <v>0</v>
      </c>
      <c r="BI29" s="46">
        <v>0.4</v>
      </c>
      <c r="BJ29" s="46">
        <v>0.4</v>
      </c>
      <c r="BK29" s="72"/>
      <c r="BL29" s="46">
        <v>0.4</v>
      </c>
      <c r="BM29" s="72"/>
      <c r="BO29" s="7">
        <f t="shared" ref="BO29:BO39" si="51">BI29*AP29</f>
        <v>0</v>
      </c>
      <c r="BP29" s="7">
        <f t="shared" si="44"/>
        <v>8771.6102564102566</v>
      </c>
      <c r="BQ29" s="7">
        <f t="shared" si="44"/>
        <v>0</v>
      </c>
      <c r="BR29" s="7">
        <f t="shared" si="44"/>
        <v>762.74871794871797</v>
      </c>
      <c r="BS29" s="7">
        <f t="shared" si="44"/>
        <v>0</v>
      </c>
      <c r="BU29" s="72"/>
      <c r="BV29" s="72"/>
      <c r="BW29" s="72"/>
      <c r="BX29" s="72"/>
      <c r="BY29" s="72"/>
      <c r="CA29" s="7">
        <f t="shared" ref="CA29:CA39" si="52">BU29*AP29</f>
        <v>0</v>
      </c>
      <c r="CB29" s="7">
        <f t="shared" si="45"/>
        <v>0</v>
      </c>
      <c r="CC29" s="7">
        <f t="shared" si="45"/>
        <v>0</v>
      </c>
      <c r="CD29" s="7">
        <f t="shared" si="45"/>
        <v>0</v>
      </c>
      <c r="CE29" s="7">
        <f t="shared" si="45"/>
        <v>0</v>
      </c>
    </row>
    <row r="30" spans="2:83" x14ac:dyDescent="0.25">
      <c r="B30" s="16" t="s">
        <v>88</v>
      </c>
      <c r="C30" s="16">
        <f>C54</f>
        <v>3500</v>
      </c>
      <c r="D30" s="16">
        <f>D54</f>
        <v>3500</v>
      </c>
      <c r="F30" s="16">
        <f t="shared" ref="F30:K30" si="53">F54</f>
        <v>0</v>
      </c>
      <c r="G30" s="16">
        <f t="shared" si="53"/>
        <v>0</v>
      </c>
      <c r="H30" s="16">
        <f t="shared" si="53"/>
        <v>0</v>
      </c>
      <c r="I30" s="16">
        <f t="shared" si="53"/>
        <v>0</v>
      </c>
      <c r="J30" s="16">
        <f t="shared" si="53"/>
        <v>0</v>
      </c>
      <c r="K30" s="16">
        <f t="shared" si="53"/>
        <v>0</v>
      </c>
      <c r="M30" s="16">
        <f t="shared" ref="M30:P30" si="54">M54</f>
        <v>0</v>
      </c>
      <c r="N30" s="16">
        <f t="shared" si="54"/>
        <v>0</v>
      </c>
      <c r="O30" s="16">
        <f t="shared" si="54"/>
        <v>0</v>
      </c>
      <c r="P30" s="16">
        <f t="shared" si="54"/>
        <v>2800</v>
      </c>
      <c r="S30" s="16"/>
      <c r="T30" s="16">
        <f>T54</f>
        <v>0</v>
      </c>
      <c r="V30" s="16">
        <f t="shared" ref="V30:Y30" si="55">V54</f>
        <v>0</v>
      </c>
      <c r="W30" s="16">
        <f t="shared" si="55"/>
        <v>0</v>
      </c>
      <c r="X30" s="16">
        <f t="shared" si="55"/>
        <v>0</v>
      </c>
      <c r="Y30" s="16">
        <f t="shared" si="55"/>
        <v>0</v>
      </c>
      <c r="AA30" s="16">
        <f t="shared" ref="AA30:AD30" si="56">AA54</f>
        <v>0</v>
      </c>
      <c r="AB30" s="16">
        <f t="shared" si="56"/>
        <v>0</v>
      </c>
      <c r="AC30" s="16">
        <f t="shared" si="56"/>
        <v>0</v>
      </c>
      <c r="AD30" s="16">
        <f t="shared" si="56"/>
        <v>700</v>
      </c>
      <c r="AH30" s="59" t="str">
        <f t="shared" si="50"/>
        <v>Bakewell</v>
      </c>
      <c r="AI30" s="1">
        <f t="shared" si="36"/>
        <v>0</v>
      </c>
      <c r="AJ30" s="1">
        <f t="shared" si="37"/>
        <v>2800</v>
      </c>
      <c r="AK30" s="1">
        <f t="shared" si="31"/>
        <v>0</v>
      </c>
      <c r="AL30" s="1">
        <f t="shared" si="38"/>
        <v>0</v>
      </c>
      <c r="AM30" s="1">
        <f t="shared" si="39"/>
        <v>700</v>
      </c>
      <c r="AN30" s="1">
        <f t="shared" si="40"/>
        <v>3500</v>
      </c>
      <c r="AP30" s="7">
        <f t="shared" si="41"/>
        <v>0</v>
      </c>
      <c r="AQ30" s="7">
        <f t="shared" si="41"/>
        <v>3589.7435897435898</v>
      </c>
      <c r="AR30" s="7">
        <f t="shared" si="41"/>
        <v>0</v>
      </c>
      <c r="AS30" s="7">
        <f t="shared" si="41"/>
        <v>0</v>
      </c>
      <c r="AT30" s="7">
        <f t="shared" si="41"/>
        <v>897.43589743589746</v>
      </c>
      <c r="AU30" s="7">
        <f t="shared" si="42"/>
        <v>4487.1794871794873</v>
      </c>
      <c r="AW30" s="46">
        <v>0.1</v>
      </c>
      <c r="AX30" s="46">
        <v>0.1</v>
      </c>
      <c r="AY30" s="72"/>
      <c r="AZ30" s="46">
        <v>0.15</v>
      </c>
      <c r="BA30" s="46">
        <v>0.15</v>
      </c>
      <c r="BC30" s="7">
        <f t="shared" si="43"/>
        <v>0</v>
      </c>
      <c r="BD30" s="7">
        <f t="shared" si="43"/>
        <v>358.97435897435901</v>
      </c>
      <c r="BE30" s="7">
        <f t="shared" si="43"/>
        <v>0</v>
      </c>
      <c r="BF30" s="7">
        <f t="shared" si="43"/>
        <v>0</v>
      </c>
      <c r="BG30" s="7">
        <f t="shared" si="43"/>
        <v>134.61538461538461</v>
      </c>
      <c r="BI30" s="46">
        <v>0.9</v>
      </c>
      <c r="BJ30" s="46">
        <v>0.9</v>
      </c>
      <c r="BK30" s="72"/>
      <c r="BL30" s="46">
        <v>0.85</v>
      </c>
      <c r="BM30" s="46">
        <v>0.85</v>
      </c>
      <c r="BO30" s="7">
        <f t="shared" si="51"/>
        <v>0</v>
      </c>
      <c r="BP30" s="7">
        <f t="shared" si="44"/>
        <v>3230.7692307692309</v>
      </c>
      <c r="BQ30" s="7">
        <f t="shared" si="44"/>
        <v>0</v>
      </c>
      <c r="BR30" s="7">
        <f t="shared" si="44"/>
        <v>0</v>
      </c>
      <c r="BS30" s="7">
        <f t="shared" si="44"/>
        <v>762.82051282051282</v>
      </c>
      <c r="BU30" s="72"/>
      <c r="BV30" s="72"/>
      <c r="BW30" s="72"/>
      <c r="BX30" s="72"/>
      <c r="BY30" s="72"/>
      <c r="CA30" s="7">
        <f t="shared" si="52"/>
        <v>0</v>
      </c>
      <c r="CB30" s="7">
        <f t="shared" si="45"/>
        <v>0</v>
      </c>
      <c r="CC30" s="7">
        <f t="shared" si="45"/>
        <v>0</v>
      </c>
      <c r="CD30" s="7">
        <f t="shared" si="45"/>
        <v>0</v>
      </c>
      <c r="CE30" s="7">
        <f t="shared" si="45"/>
        <v>0</v>
      </c>
    </row>
    <row r="31" spans="2:83" x14ac:dyDescent="0.25">
      <c r="B31" s="16" t="s">
        <v>116</v>
      </c>
      <c r="C31" s="16">
        <f>C65</f>
        <v>13812</v>
      </c>
      <c r="D31" s="16">
        <f>D65</f>
        <v>13812</v>
      </c>
      <c r="F31" s="16">
        <f t="shared" ref="F31:K31" si="57">F65</f>
        <v>0</v>
      </c>
      <c r="G31" s="16">
        <f t="shared" si="57"/>
        <v>0</v>
      </c>
      <c r="H31" s="16">
        <f t="shared" si="57"/>
        <v>0</v>
      </c>
      <c r="I31" s="16">
        <f t="shared" si="57"/>
        <v>0</v>
      </c>
      <c r="J31" s="16">
        <f t="shared" si="57"/>
        <v>0</v>
      </c>
      <c r="K31" s="16">
        <f t="shared" si="57"/>
        <v>11049.6</v>
      </c>
      <c r="M31" s="16">
        <f t="shared" ref="M31:P31" si="58">M65</f>
        <v>0</v>
      </c>
      <c r="N31" s="16">
        <f t="shared" si="58"/>
        <v>0</v>
      </c>
      <c r="O31" s="16">
        <f t="shared" si="58"/>
        <v>0</v>
      </c>
      <c r="P31" s="16">
        <f t="shared" si="58"/>
        <v>0</v>
      </c>
      <c r="S31" s="16"/>
      <c r="T31" s="16">
        <f>T65</f>
        <v>0</v>
      </c>
      <c r="V31" s="16">
        <f t="shared" ref="V31:Y31" si="59">V65</f>
        <v>0</v>
      </c>
      <c r="W31" s="16">
        <f t="shared" si="59"/>
        <v>0</v>
      </c>
      <c r="X31" s="16">
        <f t="shared" si="59"/>
        <v>0</v>
      </c>
      <c r="Y31" s="16">
        <f t="shared" si="59"/>
        <v>0</v>
      </c>
      <c r="AA31" s="16">
        <f t="shared" ref="AA31:AD31" si="60">AA65</f>
        <v>0</v>
      </c>
      <c r="AB31" s="16">
        <f t="shared" si="60"/>
        <v>0</v>
      </c>
      <c r="AC31" s="16">
        <f t="shared" si="60"/>
        <v>0</v>
      </c>
      <c r="AD31" s="16">
        <f t="shared" si="60"/>
        <v>2762.4</v>
      </c>
      <c r="AH31" s="59" t="str">
        <f t="shared" si="50"/>
        <v>Bua Premium</v>
      </c>
      <c r="AI31" s="1">
        <f t="shared" si="36"/>
        <v>11049.6</v>
      </c>
      <c r="AJ31" s="1">
        <f t="shared" si="37"/>
        <v>0</v>
      </c>
      <c r="AK31" s="1">
        <f t="shared" si="31"/>
        <v>0</v>
      </c>
      <c r="AL31" s="1">
        <f t="shared" si="38"/>
        <v>0</v>
      </c>
      <c r="AM31" s="1">
        <f t="shared" si="39"/>
        <v>2762.4</v>
      </c>
      <c r="AN31" s="1">
        <f t="shared" si="40"/>
        <v>13812</v>
      </c>
      <c r="AP31" s="7">
        <f t="shared" si="41"/>
        <v>14166.153846153846</v>
      </c>
      <c r="AQ31" s="7">
        <f t="shared" si="41"/>
        <v>0</v>
      </c>
      <c r="AR31" s="7">
        <f t="shared" si="41"/>
        <v>0</v>
      </c>
      <c r="AS31" s="7">
        <f t="shared" si="41"/>
        <v>0</v>
      </c>
      <c r="AT31" s="7">
        <f t="shared" si="41"/>
        <v>3541.5384615384614</v>
      </c>
      <c r="AU31" s="7">
        <f t="shared" si="42"/>
        <v>17707.692307692309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43"/>
        <v>0</v>
      </c>
      <c r="BD31" s="7">
        <f t="shared" si="43"/>
        <v>0</v>
      </c>
      <c r="BE31" s="7">
        <f t="shared" si="43"/>
        <v>0</v>
      </c>
      <c r="BF31" s="7">
        <f t="shared" si="43"/>
        <v>0</v>
      </c>
      <c r="BG31" s="7">
        <f t="shared" si="43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51"/>
        <v>14166.153846153846</v>
      </c>
      <c r="BP31" s="7">
        <f t="shared" si="44"/>
        <v>0</v>
      </c>
      <c r="BQ31" s="7">
        <f t="shared" si="44"/>
        <v>0</v>
      </c>
      <c r="BR31" s="7">
        <f t="shared" si="44"/>
        <v>0</v>
      </c>
      <c r="BS31" s="7">
        <f t="shared" si="44"/>
        <v>3541.5384615384614</v>
      </c>
      <c r="BU31" s="72"/>
      <c r="BV31" s="72"/>
      <c r="BW31" s="72"/>
      <c r="BX31" s="72"/>
      <c r="BY31" s="72"/>
      <c r="CA31" s="7">
        <f t="shared" si="52"/>
        <v>0</v>
      </c>
      <c r="CB31" s="7">
        <f t="shared" si="45"/>
        <v>0</v>
      </c>
      <c r="CC31" s="7">
        <f t="shared" si="45"/>
        <v>0</v>
      </c>
      <c r="CD31" s="7">
        <f t="shared" si="45"/>
        <v>0</v>
      </c>
      <c r="CE31" s="7">
        <f t="shared" si="45"/>
        <v>0</v>
      </c>
    </row>
    <row r="32" spans="2:83" x14ac:dyDescent="0.25">
      <c r="B32" s="16" t="s">
        <v>70</v>
      </c>
      <c r="C32" s="16">
        <f>C46+C67</f>
        <v>2298</v>
      </c>
      <c r="D32" s="16">
        <f>D46+D67</f>
        <v>2298</v>
      </c>
      <c r="F32" s="16">
        <f t="shared" ref="F32:K32" si="61">F46+F67</f>
        <v>0</v>
      </c>
      <c r="G32" s="16">
        <f t="shared" si="61"/>
        <v>0</v>
      </c>
      <c r="H32" s="16">
        <f t="shared" si="61"/>
        <v>0</v>
      </c>
      <c r="I32" s="16">
        <f t="shared" si="61"/>
        <v>0</v>
      </c>
      <c r="J32" s="16">
        <f t="shared" si="61"/>
        <v>0</v>
      </c>
      <c r="K32" s="16">
        <f t="shared" si="61"/>
        <v>2298</v>
      </c>
      <c r="M32" s="16">
        <f t="shared" ref="M32:P32" si="62">M46+M67</f>
        <v>0</v>
      </c>
      <c r="N32" s="16">
        <f t="shared" si="62"/>
        <v>0</v>
      </c>
      <c r="O32" s="16">
        <f t="shared" si="62"/>
        <v>0</v>
      </c>
      <c r="P32" s="16">
        <f t="shared" si="62"/>
        <v>0</v>
      </c>
      <c r="S32" s="16"/>
      <c r="T32" s="16">
        <f>T46+T67</f>
        <v>0</v>
      </c>
      <c r="V32" s="16">
        <f t="shared" ref="V32:Y32" si="63">V46+V67</f>
        <v>0</v>
      </c>
      <c r="W32" s="16">
        <f t="shared" si="63"/>
        <v>0</v>
      </c>
      <c r="X32" s="16">
        <f t="shared" si="63"/>
        <v>0</v>
      </c>
      <c r="Y32" s="16">
        <f t="shared" si="63"/>
        <v>0</v>
      </c>
      <c r="AA32" s="16">
        <f t="shared" ref="AA32:AD32" si="64">AA46+AA67</f>
        <v>0</v>
      </c>
      <c r="AB32" s="16">
        <f t="shared" si="64"/>
        <v>0</v>
      </c>
      <c r="AC32" s="16">
        <f t="shared" si="64"/>
        <v>0</v>
      </c>
      <c r="AD32" s="16">
        <f t="shared" si="64"/>
        <v>0</v>
      </c>
      <c r="AH32" s="59" t="str">
        <f t="shared" si="50"/>
        <v>Biscuit Flour</v>
      </c>
      <c r="AI32" s="1">
        <f t="shared" si="36"/>
        <v>2298</v>
      </c>
      <c r="AJ32" s="1">
        <f t="shared" si="37"/>
        <v>0</v>
      </c>
      <c r="AK32" s="1">
        <f t="shared" si="31"/>
        <v>0</v>
      </c>
      <c r="AL32" s="1">
        <f t="shared" si="38"/>
        <v>0</v>
      </c>
      <c r="AM32" s="1">
        <f t="shared" si="39"/>
        <v>0</v>
      </c>
      <c r="AN32" s="1">
        <f t="shared" si="40"/>
        <v>2298</v>
      </c>
      <c r="AP32" s="7">
        <f t="shared" si="41"/>
        <v>2946.1538461538462</v>
      </c>
      <c r="AQ32" s="7">
        <f t="shared" si="41"/>
        <v>0</v>
      </c>
      <c r="AR32" s="7">
        <f t="shared" si="41"/>
        <v>0</v>
      </c>
      <c r="AS32" s="7">
        <f t="shared" si="41"/>
        <v>0</v>
      </c>
      <c r="AT32" s="7">
        <f t="shared" si="41"/>
        <v>0</v>
      </c>
      <c r="AU32" s="7">
        <f t="shared" si="42"/>
        <v>2946.1538461538462</v>
      </c>
      <c r="AW32" s="46">
        <v>0</v>
      </c>
      <c r="AX32" s="72"/>
      <c r="AY32" s="72"/>
      <c r="AZ32" s="72"/>
      <c r="BA32" s="72"/>
      <c r="BC32" s="7">
        <f t="shared" si="43"/>
        <v>0</v>
      </c>
      <c r="BD32" s="7">
        <f t="shared" si="43"/>
        <v>0</v>
      </c>
      <c r="BE32" s="7">
        <f t="shared" si="43"/>
        <v>0</v>
      </c>
      <c r="BF32" s="7">
        <f t="shared" si="43"/>
        <v>0</v>
      </c>
      <c r="BG32" s="7">
        <f t="shared" si="43"/>
        <v>0</v>
      </c>
      <c r="BI32" s="46">
        <v>0.1</v>
      </c>
      <c r="BJ32" s="72"/>
      <c r="BK32" s="72"/>
      <c r="BL32" s="72"/>
      <c r="BM32" s="72"/>
      <c r="BO32" s="7">
        <f t="shared" si="51"/>
        <v>294.61538461538464</v>
      </c>
      <c r="BP32" s="7">
        <f t="shared" si="44"/>
        <v>0</v>
      </c>
      <c r="BQ32" s="7">
        <f t="shared" si="44"/>
        <v>0</v>
      </c>
      <c r="BR32" s="7">
        <f t="shared" si="44"/>
        <v>0</v>
      </c>
      <c r="BS32" s="7">
        <f t="shared" si="44"/>
        <v>0</v>
      </c>
      <c r="BU32" s="46">
        <v>0.9</v>
      </c>
      <c r="BV32" s="72"/>
      <c r="BW32" s="72"/>
      <c r="BX32" s="72"/>
      <c r="BY32" s="72"/>
      <c r="CA32" s="7">
        <f t="shared" si="52"/>
        <v>2651.5384615384614</v>
      </c>
      <c r="CB32" s="7">
        <f t="shared" si="45"/>
        <v>0</v>
      </c>
      <c r="CC32" s="7">
        <f t="shared" si="45"/>
        <v>0</v>
      </c>
      <c r="CD32" s="7">
        <f t="shared" si="45"/>
        <v>0</v>
      </c>
      <c r="CE32" s="7">
        <f t="shared" si="45"/>
        <v>0</v>
      </c>
    </row>
    <row r="33" spans="1:83" x14ac:dyDescent="0.25">
      <c r="B33" s="16" t="s">
        <v>117</v>
      </c>
      <c r="C33" s="16">
        <f>C47+C70</f>
        <v>2700</v>
      </c>
      <c r="D33" s="16">
        <f>D47+D70</f>
        <v>2700</v>
      </c>
      <c r="F33" s="16">
        <f t="shared" ref="F33:K33" si="65">F47+F70</f>
        <v>0</v>
      </c>
      <c r="G33" s="16">
        <f t="shared" si="65"/>
        <v>0</v>
      </c>
      <c r="H33" s="16">
        <f t="shared" si="65"/>
        <v>0</v>
      </c>
      <c r="I33" s="16">
        <f t="shared" si="65"/>
        <v>0</v>
      </c>
      <c r="J33" s="16">
        <f t="shared" si="65"/>
        <v>0</v>
      </c>
      <c r="K33" s="16">
        <f t="shared" si="65"/>
        <v>270</v>
      </c>
      <c r="M33" s="16">
        <f t="shared" ref="M33:P33" si="66">M47+M70</f>
        <v>0</v>
      </c>
      <c r="N33" s="16">
        <f t="shared" si="66"/>
        <v>0</v>
      </c>
      <c r="O33" s="16">
        <f t="shared" si="66"/>
        <v>0</v>
      </c>
      <c r="P33" s="16">
        <f t="shared" si="66"/>
        <v>2025</v>
      </c>
      <c r="S33" s="16"/>
      <c r="T33" s="16">
        <f>T47+T70</f>
        <v>0</v>
      </c>
      <c r="V33" s="16">
        <f t="shared" ref="V33:Y33" si="67">V47+V70</f>
        <v>0</v>
      </c>
      <c r="W33" s="16">
        <f t="shared" si="67"/>
        <v>0</v>
      </c>
      <c r="X33" s="16">
        <f t="shared" si="67"/>
        <v>0</v>
      </c>
      <c r="Y33" s="16">
        <f t="shared" si="67"/>
        <v>0</v>
      </c>
      <c r="AA33" s="16">
        <f t="shared" ref="AA33:AD33" si="68">AA47+AA70</f>
        <v>0</v>
      </c>
      <c r="AB33" s="16">
        <f t="shared" si="68"/>
        <v>0</v>
      </c>
      <c r="AC33" s="16">
        <f t="shared" si="68"/>
        <v>0</v>
      </c>
      <c r="AD33" s="16">
        <f t="shared" si="68"/>
        <v>405</v>
      </c>
      <c r="AH33" s="59" t="str">
        <f t="shared" si="50"/>
        <v>Noodles Flour</v>
      </c>
      <c r="AI33" s="1">
        <f t="shared" si="36"/>
        <v>270</v>
      </c>
      <c r="AJ33" s="1">
        <f t="shared" si="37"/>
        <v>2025</v>
      </c>
      <c r="AK33" s="1">
        <f t="shared" si="31"/>
        <v>0</v>
      </c>
      <c r="AL33" s="1">
        <f t="shared" si="38"/>
        <v>0</v>
      </c>
      <c r="AM33" s="1">
        <f t="shared" si="39"/>
        <v>405</v>
      </c>
      <c r="AN33" s="1">
        <f t="shared" si="40"/>
        <v>2700</v>
      </c>
      <c r="AP33" s="7">
        <f t="shared" si="41"/>
        <v>346.15384615384613</v>
      </c>
      <c r="AQ33" s="7">
        <f t="shared" si="41"/>
        <v>2596.1538461538462</v>
      </c>
      <c r="AR33" s="7">
        <f t="shared" si="41"/>
        <v>0</v>
      </c>
      <c r="AS33" s="7">
        <f t="shared" si="41"/>
        <v>0</v>
      </c>
      <c r="AT33" s="7">
        <f t="shared" si="41"/>
        <v>519.23076923076917</v>
      </c>
      <c r="AU33" s="7">
        <f t="shared" si="42"/>
        <v>3461.5384615384614</v>
      </c>
      <c r="AW33" s="46">
        <v>0.2</v>
      </c>
      <c r="AX33" s="46">
        <v>0.2</v>
      </c>
      <c r="AY33" s="72"/>
      <c r="AZ33" s="72"/>
      <c r="BA33" s="46">
        <v>0.2</v>
      </c>
      <c r="BC33" s="7">
        <f t="shared" si="43"/>
        <v>69.230769230769226</v>
      </c>
      <c r="BD33" s="7">
        <f t="shared" si="43"/>
        <v>519.23076923076928</v>
      </c>
      <c r="BE33" s="7">
        <f t="shared" si="43"/>
        <v>0</v>
      </c>
      <c r="BF33" s="7">
        <f t="shared" si="43"/>
        <v>0</v>
      </c>
      <c r="BG33" s="7">
        <f t="shared" si="43"/>
        <v>103.84615384615384</v>
      </c>
      <c r="BI33" s="46">
        <v>0.8</v>
      </c>
      <c r="BJ33" s="46">
        <v>0.8</v>
      </c>
      <c r="BK33" s="72"/>
      <c r="BL33" s="72"/>
      <c r="BM33" s="46">
        <v>0.8</v>
      </c>
      <c r="BO33" s="7">
        <f t="shared" si="51"/>
        <v>276.92307692307691</v>
      </c>
      <c r="BP33" s="7">
        <f t="shared" si="44"/>
        <v>2076.9230769230771</v>
      </c>
      <c r="BQ33" s="7">
        <f t="shared" si="44"/>
        <v>0</v>
      </c>
      <c r="BR33" s="7">
        <f t="shared" si="44"/>
        <v>0</v>
      </c>
      <c r="BS33" s="7">
        <f t="shared" si="44"/>
        <v>415.38461538461536</v>
      </c>
      <c r="BU33" s="72"/>
      <c r="BV33" s="72"/>
      <c r="BW33" s="72"/>
      <c r="BX33" s="72"/>
      <c r="BY33" s="72"/>
      <c r="CA33" s="7">
        <f t="shared" si="52"/>
        <v>0</v>
      </c>
      <c r="CB33" s="7">
        <f t="shared" si="45"/>
        <v>0</v>
      </c>
      <c r="CC33" s="7">
        <f t="shared" si="45"/>
        <v>0</v>
      </c>
      <c r="CD33" s="7">
        <f t="shared" si="45"/>
        <v>0</v>
      </c>
      <c r="CE33" s="7">
        <f t="shared" si="45"/>
        <v>0</v>
      </c>
    </row>
    <row r="34" spans="1:83" x14ac:dyDescent="0.25">
      <c r="B34" s="16" t="s">
        <v>118</v>
      </c>
      <c r="C34" s="16">
        <f>C50</f>
        <v>300</v>
      </c>
      <c r="D34" s="16">
        <f>D50</f>
        <v>300</v>
      </c>
      <c r="F34" s="16">
        <f t="shared" ref="F34:K34" si="69">F50</f>
        <v>0</v>
      </c>
      <c r="G34" s="16">
        <f t="shared" si="69"/>
        <v>0</v>
      </c>
      <c r="H34" s="16">
        <f t="shared" si="69"/>
        <v>0</v>
      </c>
      <c r="I34" s="16">
        <f t="shared" si="69"/>
        <v>0</v>
      </c>
      <c r="J34" s="16">
        <f t="shared" si="69"/>
        <v>0</v>
      </c>
      <c r="K34" s="16">
        <f t="shared" si="69"/>
        <v>0</v>
      </c>
      <c r="M34" s="16">
        <f t="shared" ref="M34:P34" si="70">M50</f>
        <v>0</v>
      </c>
      <c r="N34" s="16">
        <f t="shared" si="70"/>
        <v>0</v>
      </c>
      <c r="O34" s="16">
        <f t="shared" si="70"/>
        <v>0</v>
      </c>
      <c r="P34" s="16">
        <f t="shared" si="70"/>
        <v>0</v>
      </c>
      <c r="S34" s="16"/>
      <c r="T34" s="16">
        <f>T50</f>
        <v>0</v>
      </c>
      <c r="V34" s="16">
        <f t="shared" ref="V34:Y34" si="71">V50</f>
        <v>0</v>
      </c>
      <c r="W34" s="16">
        <f t="shared" si="71"/>
        <v>0</v>
      </c>
      <c r="X34" s="16">
        <f t="shared" si="71"/>
        <v>0</v>
      </c>
      <c r="Y34" s="16">
        <f t="shared" si="71"/>
        <v>300</v>
      </c>
      <c r="AA34" s="16">
        <f t="shared" ref="AA34:AD34" si="72">AA50</f>
        <v>0</v>
      </c>
      <c r="AB34" s="16">
        <f t="shared" si="72"/>
        <v>0</v>
      </c>
      <c r="AC34" s="16">
        <f t="shared" si="72"/>
        <v>0</v>
      </c>
      <c r="AD34" s="16">
        <f t="shared" si="72"/>
        <v>0</v>
      </c>
      <c r="AH34" s="59" t="str">
        <f t="shared" si="50"/>
        <v>Mix and Bake Madiga</v>
      </c>
      <c r="AI34" s="1">
        <f t="shared" si="36"/>
        <v>0</v>
      </c>
      <c r="AJ34" s="1">
        <f t="shared" si="37"/>
        <v>0</v>
      </c>
      <c r="AK34" s="1">
        <f t="shared" si="31"/>
        <v>0</v>
      </c>
      <c r="AL34" s="1">
        <f t="shared" si="38"/>
        <v>300</v>
      </c>
      <c r="AM34" s="1">
        <f t="shared" si="39"/>
        <v>0</v>
      </c>
      <c r="AN34" s="1">
        <f t="shared" si="40"/>
        <v>300</v>
      </c>
      <c r="AP34" s="7">
        <f t="shared" si="41"/>
        <v>0</v>
      </c>
      <c r="AQ34" s="7">
        <f t="shared" si="41"/>
        <v>0</v>
      </c>
      <c r="AR34" s="7">
        <f t="shared" si="41"/>
        <v>0</v>
      </c>
      <c r="AS34" s="7">
        <f t="shared" si="41"/>
        <v>384.61538461538458</v>
      </c>
      <c r="AT34" s="7">
        <f t="shared" si="41"/>
        <v>0</v>
      </c>
      <c r="AU34" s="7">
        <f t="shared" si="42"/>
        <v>384.61538461538458</v>
      </c>
      <c r="AW34" s="72"/>
      <c r="AX34" s="72"/>
      <c r="AY34" s="72"/>
      <c r="AZ34" s="46">
        <v>0.35</v>
      </c>
      <c r="BA34" s="72"/>
      <c r="BC34" s="7">
        <f t="shared" si="43"/>
        <v>0</v>
      </c>
      <c r="BD34" s="7">
        <f t="shared" si="43"/>
        <v>0</v>
      </c>
      <c r="BE34" s="7">
        <f t="shared" si="43"/>
        <v>0</v>
      </c>
      <c r="BF34" s="7">
        <f t="shared" si="43"/>
        <v>134.61538461538458</v>
      </c>
      <c r="BG34" s="7">
        <f t="shared" si="43"/>
        <v>0</v>
      </c>
      <c r="BI34" s="72"/>
      <c r="BJ34" s="72"/>
      <c r="BK34" s="72"/>
      <c r="BL34" s="46">
        <v>0.65</v>
      </c>
      <c r="BM34" s="72"/>
      <c r="BO34" s="7">
        <f t="shared" si="51"/>
        <v>0</v>
      </c>
      <c r="BP34" s="7">
        <f t="shared" si="44"/>
        <v>0</v>
      </c>
      <c r="BQ34" s="7">
        <f t="shared" si="44"/>
        <v>0</v>
      </c>
      <c r="BR34" s="7">
        <f t="shared" si="44"/>
        <v>250</v>
      </c>
      <c r="BS34" s="7">
        <f t="shared" si="44"/>
        <v>0</v>
      </c>
      <c r="BU34" s="72"/>
      <c r="BV34" s="72"/>
      <c r="BW34" s="72"/>
      <c r="BX34" s="72"/>
      <c r="BY34" s="72"/>
      <c r="CA34" s="7">
        <f t="shared" si="52"/>
        <v>0</v>
      </c>
      <c r="CB34" s="7">
        <f t="shared" si="45"/>
        <v>0</v>
      </c>
      <c r="CC34" s="7">
        <f t="shared" si="45"/>
        <v>0</v>
      </c>
      <c r="CD34" s="7">
        <f t="shared" si="45"/>
        <v>0</v>
      </c>
      <c r="CE34" s="7">
        <f t="shared" si="45"/>
        <v>0</v>
      </c>
    </row>
    <row r="35" spans="1:83" x14ac:dyDescent="0.25">
      <c r="B35" s="16" t="s">
        <v>91</v>
      </c>
      <c r="C35" s="16">
        <f>C48+C66+C75+C76</f>
        <v>11277.199999999999</v>
      </c>
      <c r="D35" s="16">
        <f>D48+D66+D75+D76</f>
        <v>11277.199999999999</v>
      </c>
      <c r="F35" s="16">
        <f t="shared" ref="F35:K35" si="73">F48+F66+F75+F76</f>
        <v>0</v>
      </c>
      <c r="G35" s="16">
        <f t="shared" si="73"/>
        <v>0</v>
      </c>
      <c r="H35" s="16">
        <f t="shared" si="73"/>
        <v>0</v>
      </c>
      <c r="I35" s="16">
        <f t="shared" si="73"/>
        <v>0</v>
      </c>
      <c r="J35" s="16">
        <f t="shared" si="73"/>
        <v>0</v>
      </c>
      <c r="K35" s="16">
        <f t="shared" si="73"/>
        <v>0</v>
      </c>
      <c r="M35" s="16">
        <f t="shared" ref="M35:P35" si="74">M48+M66+M75+M76</f>
        <v>0</v>
      </c>
      <c r="N35" s="16">
        <f t="shared" si="74"/>
        <v>0</v>
      </c>
      <c r="O35" s="16">
        <f t="shared" si="74"/>
        <v>0</v>
      </c>
      <c r="P35" s="16">
        <f t="shared" si="74"/>
        <v>0</v>
      </c>
      <c r="S35" s="16"/>
      <c r="T35" s="16">
        <f>T48+T66+T75+T76</f>
        <v>5648.5999999999995</v>
      </c>
      <c r="V35" s="16">
        <f t="shared" ref="V35:Y35" si="75">V48+V66+V75+V76</f>
        <v>0</v>
      </c>
      <c r="W35" s="16">
        <f t="shared" si="75"/>
        <v>0</v>
      </c>
      <c r="X35" s="16">
        <f t="shared" si="75"/>
        <v>0</v>
      </c>
      <c r="Y35" s="16">
        <f t="shared" si="75"/>
        <v>0</v>
      </c>
      <c r="AA35" s="16">
        <f t="shared" ref="AA35:AD35" si="76">AA48+AA66+AA75+AA76</f>
        <v>0</v>
      </c>
      <c r="AB35" s="16">
        <f t="shared" si="76"/>
        <v>0</v>
      </c>
      <c r="AC35" s="16">
        <f t="shared" si="76"/>
        <v>0</v>
      </c>
      <c r="AD35" s="16">
        <f t="shared" si="76"/>
        <v>5628.5999999999995</v>
      </c>
      <c r="AH35" s="59" t="str">
        <f t="shared" si="50"/>
        <v>Spaghetti</v>
      </c>
      <c r="AI35" s="1">
        <f t="shared" si="36"/>
        <v>0</v>
      </c>
      <c r="AJ35" s="1">
        <f t="shared" si="37"/>
        <v>0</v>
      </c>
      <c r="AK35" s="1">
        <f t="shared" si="31"/>
        <v>5648.5999999999995</v>
      </c>
      <c r="AL35" s="1">
        <f t="shared" si="38"/>
        <v>0</v>
      </c>
      <c r="AM35" s="1">
        <f t="shared" si="39"/>
        <v>5628.5999999999995</v>
      </c>
      <c r="AN35" s="1">
        <f t="shared" si="40"/>
        <v>11277.199999999999</v>
      </c>
      <c r="AP35" s="7">
        <f t="shared" si="41"/>
        <v>0</v>
      </c>
      <c r="AQ35" s="7">
        <f t="shared" si="41"/>
        <v>0</v>
      </c>
      <c r="AR35" s="7">
        <f t="shared" si="41"/>
        <v>7241.7948717948711</v>
      </c>
      <c r="AS35" s="7">
        <f t="shared" si="41"/>
        <v>0</v>
      </c>
      <c r="AT35" s="7">
        <f t="shared" si="41"/>
        <v>7216.1538461538448</v>
      </c>
      <c r="AU35" s="7">
        <f t="shared" si="42"/>
        <v>14457.948717948715</v>
      </c>
      <c r="AW35" s="72"/>
      <c r="AX35" s="72"/>
      <c r="AY35" s="46">
        <v>0</v>
      </c>
      <c r="AZ35" s="72"/>
      <c r="BA35" s="46">
        <v>0</v>
      </c>
      <c r="BC35" s="7">
        <f t="shared" si="43"/>
        <v>0</v>
      </c>
      <c r="BD35" s="7">
        <f t="shared" si="43"/>
        <v>0</v>
      </c>
      <c r="BE35" s="7">
        <f t="shared" si="43"/>
        <v>0</v>
      </c>
      <c r="BF35" s="7">
        <f t="shared" si="43"/>
        <v>0</v>
      </c>
      <c r="BG35" s="7">
        <f t="shared" si="43"/>
        <v>0</v>
      </c>
      <c r="BI35" s="72"/>
      <c r="BJ35" s="72"/>
      <c r="BK35" s="46">
        <v>1</v>
      </c>
      <c r="BL35" s="72"/>
      <c r="BM35" s="46">
        <v>1</v>
      </c>
      <c r="BO35" s="7">
        <f t="shared" si="51"/>
        <v>0</v>
      </c>
      <c r="BP35" s="7">
        <f t="shared" si="44"/>
        <v>0</v>
      </c>
      <c r="BQ35" s="7">
        <f t="shared" si="44"/>
        <v>7241.7948717948711</v>
      </c>
      <c r="BR35" s="7">
        <f t="shared" si="44"/>
        <v>0</v>
      </c>
      <c r="BS35" s="7">
        <f t="shared" si="44"/>
        <v>7216.1538461538448</v>
      </c>
      <c r="BU35" s="72"/>
      <c r="BV35" s="72"/>
      <c r="BW35" s="72"/>
      <c r="BX35" s="72"/>
      <c r="BY35" s="72"/>
      <c r="CA35" s="7">
        <f t="shared" si="52"/>
        <v>0</v>
      </c>
      <c r="CB35" s="7">
        <f t="shared" si="45"/>
        <v>0</v>
      </c>
      <c r="CC35" s="7">
        <f t="shared" si="45"/>
        <v>0</v>
      </c>
      <c r="CD35" s="7">
        <f t="shared" si="45"/>
        <v>0</v>
      </c>
      <c r="CE35" s="7">
        <f t="shared" si="45"/>
        <v>0</v>
      </c>
    </row>
    <row r="36" spans="1:83" x14ac:dyDescent="0.25">
      <c r="B36" s="16" t="s">
        <v>92</v>
      </c>
      <c r="C36" s="16">
        <f>C49+C51+C52+C83+C88+C84+C85+C86+C87</f>
        <v>1780</v>
      </c>
      <c r="D36" s="16">
        <f>D49+D51+D52+D83+D88+D84+D85+D86+D87</f>
        <v>1780</v>
      </c>
      <c r="F36" s="16">
        <f t="shared" ref="F36:K36" si="77">F49+F51+F52+F83+F88</f>
        <v>0</v>
      </c>
      <c r="G36" s="16">
        <f t="shared" si="77"/>
        <v>0</v>
      </c>
      <c r="H36" s="16">
        <f t="shared" si="77"/>
        <v>0</v>
      </c>
      <c r="I36" s="16">
        <f t="shared" si="77"/>
        <v>0</v>
      </c>
      <c r="J36" s="16">
        <f t="shared" si="77"/>
        <v>0</v>
      </c>
      <c r="K36" s="16">
        <f t="shared" si="77"/>
        <v>0</v>
      </c>
      <c r="M36" s="16">
        <f t="shared" ref="M36:P36" si="78">M49+M51+M52+M83+M88</f>
        <v>0</v>
      </c>
      <c r="N36" s="16">
        <f t="shared" si="78"/>
        <v>0</v>
      </c>
      <c r="O36" s="16">
        <f t="shared" si="78"/>
        <v>0</v>
      </c>
      <c r="P36" s="16">
        <f t="shared" si="78"/>
        <v>0</v>
      </c>
      <c r="S36" s="16"/>
      <c r="T36" s="16">
        <f>T49+T51+T52+T83+T88+T84+T85+T86+T87</f>
        <v>522</v>
      </c>
      <c r="V36" s="16">
        <f t="shared" ref="V36:Y36" si="79">V49+V51+V52+V83+V88</f>
        <v>0</v>
      </c>
      <c r="W36" s="16">
        <f t="shared" si="79"/>
        <v>0</v>
      </c>
      <c r="X36" s="16">
        <f t="shared" si="79"/>
        <v>0</v>
      </c>
      <c r="Y36" s="16">
        <f t="shared" si="79"/>
        <v>0</v>
      </c>
      <c r="AA36" s="16">
        <f t="shared" ref="AA36:AC36" si="80">AA49+AA51+AA52+AA83+AA88+AA84+AA85+AA86+AA87</f>
        <v>0</v>
      </c>
      <c r="AB36" s="16">
        <f t="shared" si="80"/>
        <v>0</v>
      </c>
      <c r="AC36" s="16">
        <f t="shared" si="80"/>
        <v>0</v>
      </c>
      <c r="AD36" s="16">
        <f>AD49+AD51+AD52+AD83+AD88+AD84+AD85+AD86+AD87</f>
        <v>1258</v>
      </c>
      <c r="AH36" s="59" t="str">
        <f t="shared" si="50"/>
        <v>Macroni</v>
      </c>
      <c r="AI36" s="1">
        <f t="shared" si="36"/>
        <v>0</v>
      </c>
      <c r="AJ36" s="1">
        <f t="shared" si="37"/>
        <v>0</v>
      </c>
      <c r="AK36" s="1">
        <f t="shared" si="31"/>
        <v>522</v>
      </c>
      <c r="AL36" s="1">
        <f t="shared" si="38"/>
        <v>0</v>
      </c>
      <c r="AM36" s="1">
        <f t="shared" si="39"/>
        <v>1258</v>
      </c>
      <c r="AN36" s="1">
        <f t="shared" si="40"/>
        <v>1780</v>
      </c>
      <c r="AP36" s="7">
        <f t="shared" si="41"/>
        <v>0</v>
      </c>
      <c r="AQ36" s="7">
        <f t="shared" si="41"/>
        <v>0</v>
      </c>
      <c r="AR36" s="7">
        <f t="shared" si="41"/>
        <v>669.23076923076917</v>
      </c>
      <c r="AS36" s="7">
        <f t="shared" si="41"/>
        <v>0</v>
      </c>
      <c r="AT36" s="7">
        <f t="shared" si="41"/>
        <v>1612.8205128205127</v>
      </c>
      <c r="AU36" s="7">
        <f t="shared" si="42"/>
        <v>2282.0512820512818</v>
      </c>
      <c r="AW36" s="72"/>
      <c r="AX36" s="72"/>
      <c r="AY36" s="46">
        <v>0</v>
      </c>
      <c r="AZ36" s="72"/>
      <c r="BA36" s="46">
        <v>0</v>
      </c>
      <c r="BC36" s="7">
        <f t="shared" si="43"/>
        <v>0</v>
      </c>
      <c r="BD36" s="7">
        <f t="shared" si="43"/>
        <v>0</v>
      </c>
      <c r="BE36" s="7">
        <f t="shared" si="43"/>
        <v>0</v>
      </c>
      <c r="BF36" s="7">
        <f t="shared" si="43"/>
        <v>0</v>
      </c>
      <c r="BG36" s="7">
        <f t="shared" si="43"/>
        <v>0</v>
      </c>
      <c r="BI36" s="72"/>
      <c r="BJ36" s="72"/>
      <c r="BK36" s="46">
        <v>1</v>
      </c>
      <c r="BL36" s="72"/>
      <c r="BM36" s="46">
        <v>1</v>
      </c>
      <c r="BO36" s="7">
        <f t="shared" si="51"/>
        <v>0</v>
      </c>
      <c r="BP36" s="7">
        <f t="shared" si="44"/>
        <v>0</v>
      </c>
      <c r="BQ36" s="7">
        <f t="shared" si="44"/>
        <v>669.23076923076917</v>
      </c>
      <c r="BR36" s="7">
        <f t="shared" si="44"/>
        <v>0</v>
      </c>
      <c r="BS36" s="7">
        <f t="shared" si="44"/>
        <v>1612.8205128205127</v>
      </c>
      <c r="BU36" s="72"/>
      <c r="BV36" s="72"/>
      <c r="BW36" s="72"/>
      <c r="BX36" s="72"/>
      <c r="BY36" s="72"/>
      <c r="CA36" s="7">
        <f t="shared" si="52"/>
        <v>0</v>
      </c>
      <c r="CB36" s="7">
        <f t="shared" si="45"/>
        <v>0</v>
      </c>
      <c r="CC36" s="7">
        <f t="shared" si="45"/>
        <v>0</v>
      </c>
      <c r="CD36" s="7">
        <f t="shared" si="45"/>
        <v>0</v>
      </c>
      <c r="CE36" s="7">
        <f t="shared" si="45"/>
        <v>0</v>
      </c>
    </row>
    <row r="37" spans="1:83" x14ac:dyDescent="0.25">
      <c r="B37" s="16" t="s">
        <v>93</v>
      </c>
      <c r="C37" s="16">
        <f>C71+C72+C73+C74</f>
        <v>2250</v>
      </c>
      <c r="D37" s="16">
        <f>D71+D72+D73+D74</f>
        <v>2250</v>
      </c>
      <c r="F37" s="16">
        <f t="shared" ref="F37:K37" si="81">F71+F72+F73+F74</f>
        <v>0</v>
      </c>
      <c r="G37" s="16">
        <f t="shared" si="81"/>
        <v>0</v>
      </c>
      <c r="H37" s="16">
        <f t="shared" si="81"/>
        <v>0</v>
      </c>
      <c r="I37" s="16">
        <f t="shared" si="81"/>
        <v>0</v>
      </c>
      <c r="J37" s="16">
        <f t="shared" si="81"/>
        <v>0</v>
      </c>
      <c r="K37" s="16">
        <f t="shared" si="81"/>
        <v>624.02656249999995</v>
      </c>
      <c r="M37" s="16">
        <f t="shared" ref="M37:P37" si="82">M71+M72+M73+M74</f>
        <v>0</v>
      </c>
      <c r="N37" s="16">
        <f t="shared" si="82"/>
        <v>0</v>
      </c>
      <c r="O37" s="16">
        <f t="shared" si="82"/>
        <v>0</v>
      </c>
      <c r="P37" s="16">
        <f t="shared" si="82"/>
        <v>0</v>
      </c>
      <c r="S37" s="16"/>
      <c r="T37" s="16">
        <f>T71+T72+T73+T74</f>
        <v>0</v>
      </c>
      <c r="V37" s="16">
        <f t="shared" ref="V37:X37" si="83">V71+V72+V73+V74</f>
        <v>0</v>
      </c>
      <c r="W37" s="16">
        <f t="shared" si="83"/>
        <v>0</v>
      </c>
      <c r="X37" s="16">
        <f t="shared" si="83"/>
        <v>0</v>
      </c>
      <c r="Y37" s="16">
        <f>Y71+Y72+Y73+Y74</f>
        <v>807.17343750000009</v>
      </c>
      <c r="AA37" s="16">
        <f t="shared" ref="AA37:AD37" si="84">AA71+AA72+AA73+AA74</f>
        <v>0</v>
      </c>
      <c r="AB37" s="16">
        <f t="shared" si="84"/>
        <v>0</v>
      </c>
      <c r="AC37" s="16">
        <f t="shared" si="84"/>
        <v>0</v>
      </c>
      <c r="AD37" s="16">
        <f t="shared" si="84"/>
        <v>818.8</v>
      </c>
      <c r="AH37" s="59" t="str">
        <f t="shared" si="50"/>
        <v>Supreme Semolina</v>
      </c>
      <c r="AI37" s="1">
        <f t="shared" si="36"/>
        <v>624.02656249999995</v>
      </c>
      <c r="AJ37" s="1">
        <f t="shared" si="37"/>
        <v>0</v>
      </c>
      <c r="AK37" s="1">
        <f t="shared" si="31"/>
        <v>0</v>
      </c>
      <c r="AL37" s="1">
        <f t="shared" si="38"/>
        <v>807.17343750000009</v>
      </c>
      <c r="AM37" s="1">
        <f t="shared" si="39"/>
        <v>818.8</v>
      </c>
      <c r="AN37" s="1">
        <f t="shared" si="40"/>
        <v>2250</v>
      </c>
      <c r="AP37" s="7">
        <f t="shared" si="41"/>
        <v>800.03405448717945</v>
      </c>
      <c r="AQ37" s="7">
        <f t="shared" si="41"/>
        <v>0</v>
      </c>
      <c r="AR37" s="7">
        <f t="shared" si="41"/>
        <v>0</v>
      </c>
      <c r="AS37" s="7">
        <f t="shared" si="41"/>
        <v>1034.8377403846155</v>
      </c>
      <c r="AT37" s="7">
        <f t="shared" si="41"/>
        <v>1049.7435897435896</v>
      </c>
      <c r="AU37" s="7">
        <f t="shared" si="42"/>
        <v>2884.6153846153848</v>
      </c>
      <c r="AW37" s="46">
        <v>0.35</v>
      </c>
      <c r="AX37" s="72"/>
      <c r="AY37" s="72"/>
      <c r="AZ37" s="46">
        <v>0.32</v>
      </c>
      <c r="BA37" s="46">
        <v>0.3</v>
      </c>
      <c r="BC37" s="7">
        <f t="shared" si="43"/>
        <v>280.01191907051276</v>
      </c>
      <c r="BD37" s="7">
        <f t="shared" si="43"/>
        <v>0</v>
      </c>
      <c r="BE37" s="7">
        <f t="shared" si="43"/>
        <v>0</v>
      </c>
      <c r="BF37" s="7">
        <f t="shared" si="43"/>
        <v>331.14807692307699</v>
      </c>
      <c r="BG37" s="7">
        <f t="shared" si="43"/>
        <v>314.92307692307685</v>
      </c>
      <c r="BI37" s="46">
        <v>0.65</v>
      </c>
      <c r="BJ37" s="72"/>
      <c r="BK37" s="72"/>
      <c r="BL37" s="46">
        <v>0.68</v>
      </c>
      <c r="BM37" s="46">
        <v>0.7</v>
      </c>
      <c r="BO37" s="7">
        <f t="shared" si="51"/>
        <v>520.02213541666663</v>
      </c>
      <c r="BP37" s="7">
        <f t="shared" si="44"/>
        <v>0</v>
      </c>
      <c r="BQ37" s="7">
        <f t="shared" si="44"/>
        <v>0</v>
      </c>
      <c r="BR37" s="7">
        <f t="shared" si="44"/>
        <v>703.68966346153854</v>
      </c>
      <c r="BS37" s="7">
        <f t="shared" si="44"/>
        <v>734.8205128205127</v>
      </c>
      <c r="BU37" s="72"/>
      <c r="BV37" s="72"/>
      <c r="BW37" s="72"/>
      <c r="BX37" s="72"/>
      <c r="BY37" s="72"/>
      <c r="CA37" s="7">
        <f t="shared" si="52"/>
        <v>0</v>
      </c>
      <c r="CB37" s="7">
        <f t="shared" si="45"/>
        <v>0</v>
      </c>
      <c r="CC37" s="7">
        <f t="shared" si="45"/>
        <v>0</v>
      </c>
      <c r="CD37" s="7">
        <f t="shared" si="45"/>
        <v>0</v>
      </c>
      <c r="CE37" s="7">
        <f t="shared" si="45"/>
        <v>0</v>
      </c>
    </row>
    <row r="38" spans="1:83" x14ac:dyDescent="0.25">
      <c r="B38" s="16" t="s">
        <v>73</v>
      </c>
      <c r="C38" s="16">
        <f>C55+C56+C57+C58+C89+C90</f>
        <v>1569</v>
      </c>
      <c r="D38" s="16">
        <f>D55+D56+D57+D58+D89+D90</f>
        <v>1569</v>
      </c>
      <c r="F38" s="16">
        <f t="shared" ref="F38:K38" si="85">F55+F56+F57+F58+F89+F90</f>
        <v>0</v>
      </c>
      <c r="G38" s="16">
        <f t="shared" si="85"/>
        <v>0</v>
      </c>
      <c r="H38" s="16">
        <f t="shared" si="85"/>
        <v>0</v>
      </c>
      <c r="I38" s="16">
        <f t="shared" si="85"/>
        <v>0</v>
      </c>
      <c r="J38" s="16">
        <f t="shared" si="85"/>
        <v>0</v>
      </c>
      <c r="K38" s="16">
        <f t="shared" si="85"/>
        <v>1569</v>
      </c>
      <c r="M38" s="16">
        <f t="shared" ref="M38:P38" si="86">M55+M56+M57+M58+M89+M90</f>
        <v>0</v>
      </c>
      <c r="N38" s="16">
        <f t="shared" si="86"/>
        <v>0</v>
      </c>
      <c r="O38" s="16">
        <f t="shared" si="86"/>
        <v>0</v>
      </c>
      <c r="P38" s="16">
        <f t="shared" si="86"/>
        <v>0</v>
      </c>
      <c r="S38" s="16"/>
      <c r="T38" s="16">
        <f>T55+T56+T57+T58+T89+T90</f>
        <v>0</v>
      </c>
      <c r="V38" s="16">
        <f t="shared" ref="V38:Y38" si="87">V55+V56+V57+V58+V89+V90</f>
        <v>0</v>
      </c>
      <c r="W38" s="16">
        <f t="shared" si="87"/>
        <v>0</v>
      </c>
      <c r="X38" s="16">
        <f t="shared" si="87"/>
        <v>0</v>
      </c>
      <c r="Y38" s="16">
        <f t="shared" si="87"/>
        <v>0</v>
      </c>
      <c r="AA38" s="16">
        <f t="shared" ref="AA38:AD38" si="88">AA55+AA56+AA57+AA58+AA89+AA90</f>
        <v>0</v>
      </c>
      <c r="AB38" s="16">
        <f t="shared" si="88"/>
        <v>0</v>
      </c>
      <c r="AC38" s="16">
        <f t="shared" si="88"/>
        <v>0</v>
      </c>
      <c r="AD38" s="16">
        <f t="shared" si="88"/>
        <v>0</v>
      </c>
      <c r="AH38" s="59" t="str">
        <f t="shared" si="50"/>
        <v>Mama Gold Semolina</v>
      </c>
      <c r="AI38" s="1">
        <f t="shared" si="36"/>
        <v>1569</v>
      </c>
      <c r="AJ38" s="1">
        <f t="shared" si="37"/>
        <v>0</v>
      </c>
      <c r="AK38" s="1">
        <f t="shared" si="31"/>
        <v>0</v>
      </c>
      <c r="AL38" s="1">
        <f t="shared" si="38"/>
        <v>0</v>
      </c>
      <c r="AM38" s="1">
        <f t="shared" si="39"/>
        <v>0</v>
      </c>
      <c r="AN38" s="1">
        <f t="shared" si="40"/>
        <v>1569</v>
      </c>
      <c r="AP38" s="7">
        <f t="shared" si="41"/>
        <v>2011.5384615384614</v>
      </c>
      <c r="AQ38" s="7">
        <f t="shared" si="41"/>
        <v>0</v>
      </c>
      <c r="AR38" s="7">
        <f t="shared" si="41"/>
        <v>0</v>
      </c>
      <c r="AS38" s="7">
        <f t="shared" si="41"/>
        <v>0</v>
      </c>
      <c r="AT38" s="7">
        <f t="shared" si="41"/>
        <v>0</v>
      </c>
      <c r="AU38" s="7">
        <f t="shared" si="42"/>
        <v>2011.5384615384614</v>
      </c>
      <c r="AW38" s="46">
        <v>0.35</v>
      </c>
      <c r="AX38" s="72"/>
      <c r="AY38" s="72"/>
      <c r="AZ38" s="72"/>
      <c r="BA38" s="72"/>
      <c r="BC38" s="7">
        <f t="shared" si="43"/>
        <v>704.03846153846143</v>
      </c>
      <c r="BD38" s="7">
        <f t="shared" si="43"/>
        <v>0</v>
      </c>
      <c r="BE38" s="7">
        <f t="shared" si="43"/>
        <v>0</v>
      </c>
      <c r="BF38" s="7">
        <f t="shared" si="43"/>
        <v>0</v>
      </c>
      <c r="BG38" s="7">
        <f t="shared" si="43"/>
        <v>0</v>
      </c>
      <c r="BI38" s="46">
        <v>0.65</v>
      </c>
      <c r="BJ38" s="72"/>
      <c r="BK38" s="72"/>
      <c r="BL38" s="72"/>
      <c r="BM38" s="72"/>
      <c r="BO38" s="7">
        <f t="shared" si="51"/>
        <v>1307.5</v>
      </c>
      <c r="BP38" s="7">
        <f t="shared" si="44"/>
        <v>0</v>
      </c>
      <c r="BQ38" s="7">
        <f t="shared" si="44"/>
        <v>0</v>
      </c>
      <c r="BR38" s="7">
        <f t="shared" si="44"/>
        <v>0</v>
      </c>
      <c r="BS38" s="7">
        <f t="shared" si="44"/>
        <v>0</v>
      </c>
      <c r="BU38" s="72"/>
      <c r="BV38" s="72"/>
      <c r="BW38" s="72"/>
      <c r="BX38" s="72"/>
      <c r="BY38" s="72"/>
      <c r="CA38" s="7">
        <f t="shared" si="52"/>
        <v>0</v>
      </c>
      <c r="CB38" s="7">
        <f t="shared" si="45"/>
        <v>0</v>
      </c>
      <c r="CC38" s="7">
        <f t="shared" si="45"/>
        <v>0</v>
      </c>
      <c r="CD38" s="7">
        <f t="shared" si="45"/>
        <v>0</v>
      </c>
      <c r="CE38" s="7">
        <f t="shared" si="45"/>
        <v>0</v>
      </c>
    </row>
    <row r="39" spans="1:83" x14ac:dyDescent="0.25">
      <c r="B39" s="16" t="s">
        <v>94</v>
      </c>
      <c r="C39" s="16">
        <f>C77+C78+C79+C80</f>
        <v>152</v>
      </c>
      <c r="D39" s="16">
        <f>D77+D78+D79+D80</f>
        <v>152</v>
      </c>
      <c r="F39" s="16">
        <f t="shared" ref="F39:J39" si="89">F77</f>
        <v>0</v>
      </c>
      <c r="G39" s="16">
        <f t="shared" si="89"/>
        <v>0</v>
      </c>
      <c r="H39" s="16">
        <f t="shared" si="89"/>
        <v>0</v>
      </c>
      <c r="I39" s="16">
        <f t="shared" si="89"/>
        <v>0</v>
      </c>
      <c r="J39" s="16">
        <f t="shared" si="89"/>
        <v>0</v>
      </c>
      <c r="K39" s="16">
        <f>K77+K78+K79+K80</f>
        <v>152</v>
      </c>
      <c r="M39" s="16">
        <f t="shared" ref="M39:O39" si="90">M77</f>
        <v>0</v>
      </c>
      <c r="N39" s="16">
        <f t="shared" si="90"/>
        <v>0</v>
      </c>
      <c r="O39" s="16">
        <f t="shared" si="90"/>
        <v>0</v>
      </c>
      <c r="P39" s="16">
        <f>P77+P78+P79+P80</f>
        <v>0</v>
      </c>
      <c r="S39" s="16"/>
      <c r="T39" s="16">
        <f>T77+T78+T79+T80</f>
        <v>0</v>
      </c>
      <c r="V39" s="16">
        <f t="shared" ref="V39:Y39" si="91">V77+V78+V79+V80</f>
        <v>0</v>
      </c>
      <c r="W39" s="16">
        <f t="shared" si="91"/>
        <v>0</v>
      </c>
      <c r="X39" s="16">
        <f t="shared" si="91"/>
        <v>0</v>
      </c>
      <c r="Y39" s="16">
        <f t="shared" si="91"/>
        <v>0</v>
      </c>
      <c r="AA39" s="16">
        <f t="shared" ref="AA39:AD39" si="92">AA77+AA78+AA79+AA80</f>
        <v>0</v>
      </c>
      <c r="AB39" s="16">
        <f t="shared" si="92"/>
        <v>0</v>
      </c>
      <c r="AC39" s="16">
        <f t="shared" si="92"/>
        <v>0</v>
      </c>
      <c r="AD39" s="16">
        <f t="shared" si="92"/>
        <v>0</v>
      </c>
      <c r="AH39" s="59" t="str">
        <f t="shared" si="50"/>
        <v>Tuwovita</v>
      </c>
      <c r="AI39" s="1">
        <f t="shared" si="36"/>
        <v>152</v>
      </c>
      <c r="AJ39" s="1">
        <f t="shared" si="37"/>
        <v>0</v>
      </c>
      <c r="AK39" s="1">
        <f t="shared" si="31"/>
        <v>0</v>
      </c>
      <c r="AL39" s="1">
        <f t="shared" si="38"/>
        <v>0</v>
      </c>
      <c r="AM39" s="1">
        <f t="shared" si="39"/>
        <v>0</v>
      </c>
      <c r="AN39" s="1">
        <f t="shared" si="40"/>
        <v>152</v>
      </c>
      <c r="AP39" s="7">
        <f t="shared" si="41"/>
        <v>194.87179487179486</v>
      </c>
      <c r="AQ39" s="7">
        <f t="shared" si="41"/>
        <v>0</v>
      </c>
      <c r="AR39" s="7">
        <f t="shared" si="41"/>
        <v>0</v>
      </c>
      <c r="AS39" s="7">
        <f t="shared" si="41"/>
        <v>0</v>
      </c>
      <c r="AT39" s="7">
        <f t="shared" si="41"/>
        <v>0</v>
      </c>
      <c r="AU39" s="7">
        <f t="shared" si="42"/>
        <v>194.87179487179486</v>
      </c>
      <c r="AW39" s="46">
        <v>0.3</v>
      </c>
      <c r="AX39" s="72"/>
      <c r="AY39" s="72"/>
      <c r="AZ39" s="72"/>
      <c r="BA39" s="72"/>
      <c r="BC39" s="7">
        <f t="shared" si="43"/>
        <v>58.461538461538453</v>
      </c>
      <c r="BD39" s="7">
        <f t="shared" si="43"/>
        <v>0</v>
      </c>
      <c r="BE39" s="7">
        <f t="shared" si="43"/>
        <v>0</v>
      </c>
      <c r="BF39" s="7">
        <f t="shared" si="43"/>
        <v>0</v>
      </c>
      <c r="BG39" s="7">
        <f t="shared" si="43"/>
        <v>0</v>
      </c>
      <c r="BI39" s="46">
        <v>0.7</v>
      </c>
      <c r="BJ39" s="72"/>
      <c r="BK39" s="72"/>
      <c r="BL39" s="72"/>
      <c r="BM39" s="72"/>
      <c r="BO39" s="7">
        <f t="shared" si="51"/>
        <v>136.41025641025638</v>
      </c>
      <c r="BP39" s="7">
        <f t="shared" si="44"/>
        <v>0</v>
      </c>
      <c r="BQ39" s="7">
        <f t="shared" si="44"/>
        <v>0</v>
      </c>
      <c r="BR39" s="7">
        <f t="shared" si="44"/>
        <v>0</v>
      </c>
      <c r="BS39" s="7">
        <f t="shared" si="44"/>
        <v>0</v>
      </c>
      <c r="BU39" s="72"/>
      <c r="BV39" s="72"/>
      <c r="BW39" s="72"/>
      <c r="BX39" s="72"/>
      <c r="BY39" s="72"/>
      <c r="CA39" s="7">
        <f t="shared" si="52"/>
        <v>0</v>
      </c>
      <c r="CB39" s="7">
        <f t="shared" si="45"/>
        <v>0</v>
      </c>
      <c r="CC39" s="7">
        <f t="shared" si="45"/>
        <v>0</v>
      </c>
      <c r="CD39" s="7">
        <f t="shared" si="45"/>
        <v>0</v>
      </c>
      <c r="CE39" s="7">
        <f t="shared" si="45"/>
        <v>0</v>
      </c>
    </row>
    <row r="40" spans="1:83" ht="21" x14ac:dyDescent="0.35">
      <c r="A40" s="8"/>
      <c r="B40" s="33"/>
      <c r="C40" s="33">
        <f>SUM(C27:C39)</f>
        <v>86754.2</v>
      </c>
      <c r="D40" s="33">
        <f>SUM(D27:D39)</f>
        <v>86754.2</v>
      </c>
      <c r="E40" s="8"/>
      <c r="F40" s="47">
        <v>0</v>
      </c>
      <c r="G40" s="47">
        <f>SUM(G95:G110)/G17</f>
        <v>0.98542675346647535</v>
      </c>
      <c r="H40" s="47">
        <f>SUM(H95:H110)/H17</f>
        <v>1.0172043105667734</v>
      </c>
      <c r="I40" s="47">
        <f>SUM(I95:I110)/I17</f>
        <v>0.61468708936434857</v>
      </c>
      <c r="J40" s="47">
        <f>(J96+J104)/J23</f>
        <v>0.82409804186549607</v>
      </c>
      <c r="K40" s="47">
        <f>K93/K17</f>
        <v>0.78719290863022762</v>
      </c>
      <c r="L40" s="8"/>
      <c r="M40" s="47">
        <v>0</v>
      </c>
      <c r="N40" s="47">
        <f>SUM(N95:N110)/N17</f>
        <v>0.92178622657272113</v>
      </c>
      <c r="O40" s="47">
        <f>SUM(O95:O110)/O17</f>
        <v>0.92178622657272113</v>
      </c>
      <c r="P40" s="48">
        <f>P93/P17</f>
        <v>0.67921090379042603</v>
      </c>
      <c r="Q40" s="8"/>
      <c r="R40" s="47">
        <f>SUM(R95:R110)/R17</f>
        <v>1.0273342846750049</v>
      </c>
      <c r="S40" s="47">
        <f t="shared" ref="S40:T40" si="93">SUM(S95:S110)/S17</f>
        <v>0.2576896787423103</v>
      </c>
      <c r="T40" s="47">
        <f t="shared" si="93"/>
        <v>0.82012227538543325</v>
      </c>
      <c r="U40" s="8"/>
      <c r="V40" s="47">
        <f>SUM(V95:V110)/V17</f>
        <v>1.0420880328925592</v>
      </c>
      <c r="W40" s="47">
        <f>SUM(W95:W110)/W17</f>
        <v>1.0149168633083683</v>
      </c>
      <c r="X40" s="47">
        <f>SUM(X95:X110)/X17</f>
        <v>1.0149168633083683</v>
      </c>
      <c r="Y40" s="47">
        <f>Y93/Y17</f>
        <v>1.0257853311420448</v>
      </c>
      <c r="Z40" s="8"/>
      <c r="AA40" s="47">
        <f>SUM(AA95:AA110)/AA17</f>
        <v>0.99876869469892704</v>
      </c>
      <c r="AB40" s="47">
        <f>SUM(AB95:AB110)/AB17</f>
        <v>0.48390161302952001</v>
      </c>
      <c r="AC40" s="47">
        <f>SUM(AC95:AC110)/AC17</f>
        <v>0.98266102265324196</v>
      </c>
      <c r="AD40" s="47">
        <f>AD93/AD17</f>
        <v>0.91618380444318881</v>
      </c>
      <c r="AE40" s="8"/>
      <c r="AF40" s="8"/>
      <c r="AG40" s="54"/>
      <c r="AH40" s="61"/>
      <c r="AI40" s="59">
        <f>SUM(AI27:AI39)</f>
        <v>22658.506562499999</v>
      </c>
      <c r="AJ40" s="59">
        <f t="shared" ref="AJ40:AN40" si="94">SUM(AJ27:AJ39)</f>
        <v>21929.64</v>
      </c>
      <c r="AK40" s="59">
        <f t="shared" si="94"/>
        <v>6170.5999999999995</v>
      </c>
      <c r="AL40" s="59">
        <f t="shared" si="94"/>
        <v>16559.733437500003</v>
      </c>
      <c r="AM40" s="59">
        <f t="shared" si="94"/>
        <v>19435.719999999998</v>
      </c>
      <c r="AN40" s="59">
        <f t="shared" si="94"/>
        <v>86754.2</v>
      </c>
      <c r="AO40" s="57"/>
      <c r="AP40" s="57">
        <f t="shared" si="41"/>
        <v>29049.367387820512</v>
      </c>
      <c r="AQ40" s="57">
        <f t="shared" si="41"/>
        <v>28114.923076923074</v>
      </c>
      <c r="AR40" s="57">
        <f t="shared" si="41"/>
        <v>7911.0256410256397</v>
      </c>
      <c r="AS40" s="57">
        <f t="shared" si="41"/>
        <v>21230.427483974363</v>
      </c>
      <c r="AT40" s="57">
        <f t="shared" si="41"/>
        <v>24917.589743589739</v>
      </c>
      <c r="AU40" s="57">
        <f t="shared" si="41"/>
        <v>111223.33333333333</v>
      </c>
      <c r="AV40" s="57"/>
      <c r="AW40" s="57"/>
      <c r="AX40" s="57"/>
      <c r="AY40" s="57"/>
      <c r="AZ40" s="57"/>
      <c r="BA40" s="57"/>
      <c r="BB40" s="57"/>
      <c r="BC40" s="57">
        <f>SUM(BC27:BC39)</f>
        <v>3687.0811498397434</v>
      </c>
      <c r="BD40" s="57">
        <f t="shared" ref="BD40:BG40" si="95">SUM(BD27:BD39)</f>
        <v>14035.620512820513</v>
      </c>
      <c r="BE40" s="57">
        <f t="shared" si="95"/>
        <v>0</v>
      </c>
      <c r="BF40" s="57">
        <f t="shared" si="95"/>
        <v>7362.5275641025637</v>
      </c>
      <c r="BG40" s="57">
        <f t="shared" si="95"/>
        <v>3644.8923076923074</v>
      </c>
      <c r="BH40" s="57"/>
      <c r="BI40" s="57"/>
      <c r="BJ40" s="57"/>
      <c r="BK40" s="57"/>
      <c r="BL40" s="57"/>
      <c r="BM40" s="57"/>
      <c r="BN40" s="57"/>
      <c r="BO40" s="57">
        <f>SUM(BO27:BO39)</f>
        <v>22710.747776442309</v>
      </c>
      <c r="BP40" s="57">
        <f t="shared" ref="BP40:BS40" si="96">SUM(BP27:BP39)</f>
        <v>14079.302564102563</v>
      </c>
      <c r="BQ40" s="57">
        <f t="shared" si="96"/>
        <v>7911.0256410256407</v>
      </c>
      <c r="BR40" s="57">
        <f t="shared" si="96"/>
        <v>13867.899919871794</v>
      </c>
      <c r="BS40" s="57">
        <f t="shared" si="96"/>
        <v>21272.697435897433</v>
      </c>
      <c r="BT40" s="57"/>
      <c r="BU40" s="57"/>
      <c r="BV40" s="57"/>
      <c r="BW40" s="57"/>
      <c r="BX40" s="57"/>
      <c r="BY40" s="57"/>
      <c r="BZ40" s="57"/>
      <c r="CA40" s="57">
        <f>SUM(CA27:CA39)</f>
        <v>2651.5384615384614</v>
      </c>
      <c r="CB40" s="57">
        <f t="shared" ref="CB40:CE40" si="97">SUM(CB27:CB39)</f>
        <v>0</v>
      </c>
      <c r="CC40" s="57">
        <f t="shared" si="97"/>
        <v>0</v>
      </c>
      <c r="CD40" s="57">
        <f t="shared" si="97"/>
        <v>0</v>
      </c>
      <c r="CE40" s="57">
        <f t="shared" si="97"/>
        <v>0</v>
      </c>
    </row>
    <row r="41" spans="1:83" x14ac:dyDescent="0.25">
      <c r="BC41" s="84">
        <f>SUM(BC40:BE40)</f>
        <v>17722.701662660256</v>
      </c>
      <c r="BD41" s="84"/>
      <c r="BE41" s="84"/>
      <c r="BF41" s="7">
        <f>BF40</f>
        <v>7362.5275641025637</v>
      </c>
      <c r="BG41" s="7">
        <f>BG40</f>
        <v>3644.8923076923074</v>
      </c>
      <c r="BO41" s="84">
        <f>SUM(BO40:BQ40)</f>
        <v>44701.07598157051</v>
      </c>
      <c r="BP41" s="84"/>
      <c r="BQ41" s="84"/>
      <c r="BR41" s="7">
        <f>BR40</f>
        <v>13867.899919871794</v>
      </c>
      <c r="BS41" s="7">
        <f>BS40</f>
        <v>21272.697435897433</v>
      </c>
      <c r="CA41" s="84">
        <f>SUM(CA40:CC40)</f>
        <v>2651.5384615384614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85097</v>
      </c>
      <c r="BC42" s="71">
        <f>BC41/4.33</f>
        <v>4093.0026934550247</v>
      </c>
      <c r="BD42" s="71"/>
      <c r="BE42" s="71"/>
      <c r="BF42" s="7">
        <f>BF41/4.33</f>
        <v>1700.3527861668738</v>
      </c>
      <c r="BG42" s="7">
        <f>BG41/4.33</f>
        <v>841.77651447859296</v>
      </c>
      <c r="BO42" s="71">
        <f>BO41/4.33</f>
        <v>10323.574129692957</v>
      </c>
      <c r="BP42" s="71"/>
      <c r="BQ42" s="71"/>
      <c r="BR42" s="7">
        <f>BR41/4.33</f>
        <v>3202.7482493930238</v>
      </c>
      <c r="BS42" s="7">
        <f>BS41/4.33</f>
        <v>4912.863149167998</v>
      </c>
      <c r="CA42" s="71">
        <f>CA41/4.33</f>
        <v>612.36454077100723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>
        <v>0</v>
      </c>
      <c r="D45" s="36">
        <f t="shared" ref="D45:D90" si="98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8"/>
        <v>120</v>
      </c>
      <c r="K46" s="7">
        <f>C46</f>
        <v>120</v>
      </c>
      <c r="P46" s="7">
        <f t="shared" ref="P46:P92" si="99">SUM(M46:O46)</f>
        <v>0</v>
      </c>
      <c r="Y46" s="7">
        <f t="shared" ref="Y46:Y92" si="100">SUM(V46:X46)</f>
        <v>0</v>
      </c>
      <c r="AD46" s="7">
        <f t="shared" ref="AD46:AD92" si="101">SUM(AA46:AC46)</f>
        <v>0</v>
      </c>
    </row>
    <row r="47" spans="1:83" x14ac:dyDescent="0.25">
      <c r="A47" s="24">
        <v>100000020598</v>
      </c>
      <c r="B47" s="25" t="s">
        <v>28</v>
      </c>
      <c r="C47" s="36">
        <v>0</v>
      </c>
      <c r="D47" s="36">
        <f t="shared" si="98"/>
        <v>0</v>
      </c>
      <c r="K47" s="7">
        <f t="shared" ref="K47:K92" si="102">SUM(F47:J47)</f>
        <v>0</v>
      </c>
      <c r="P47" s="7">
        <f t="shared" si="99"/>
        <v>0</v>
      </c>
      <c r="Y47" s="7">
        <f t="shared" si="100"/>
        <v>0</v>
      </c>
      <c r="AD47" s="7">
        <f t="shared" si="101"/>
        <v>0</v>
      </c>
    </row>
    <row r="48" spans="1:83" x14ac:dyDescent="0.25">
      <c r="A48" s="26">
        <v>100000019578</v>
      </c>
      <c r="B48" s="27" t="s">
        <v>29</v>
      </c>
      <c r="C48" s="43">
        <f>C66*1.5%</f>
        <v>159.29999999999998</v>
      </c>
      <c r="D48" s="36">
        <f t="shared" si="98"/>
        <v>159.29999999999998</v>
      </c>
      <c r="K48" s="7">
        <f t="shared" si="102"/>
        <v>0</v>
      </c>
      <c r="P48" s="7">
        <f t="shared" si="99"/>
        <v>0</v>
      </c>
      <c r="T48" s="7">
        <f>C48*0.5</f>
        <v>79.649999999999991</v>
      </c>
      <c r="Y48" s="7">
        <f t="shared" si="100"/>
        <v>0</v>
      </c>
      <c r="AD48" s="7">
        <f>C48*0.5</f>
        <v>79.649999999999991</v>
      </c>
    </row>
    <row r="49" spans="1:30" x14ac:dyDescent="0.25">
      <c r="A49" s="26"/>
      <c r="B49" s="29" t="s">
        <v>85</v>
      </c>
      <c r="C49" s="36">
        <v>150</v>
      </c>
      <c r="D49" s="36">
        <f t="shared" si="98"/>
        <v>150</v>
      </c>
      <c r="K49" s="7">
        <f t="shared" si="102"/>
        <v>0</v>
      </c>
      <c r="T49" s="7">
        <f>C49</f>
        <v>150</v>
      </c>
      <c r="AD49" s="7">
        <v>0</v>
      </c>
    </row>
    <row r="50" spans="1:30" x14ac:dyDescent="0.25">
      <c r="A50" s="26"/>
      <c r="B50" s="51" t="s">
        <v>100</v>
      </c>
      <c r="C50" s="36">
        <v>300</v>
      </c>
      <c r="D50" s="36">
        <f t="shared" si="98"/>
        <v>300</v>
      </c>
      <c r="K50" s="7">
        <f t="shared" si="102"/>
        <v>0</v>
      </c>
      <c r="P50" s="7">
        <f t="shared" si="99"/>
        <v>0</v>
      </c>
      <c r="Y50" s="7">
        <f>C50*1</f>
        <v>300</v>
      </c>
    </row>
    <row r="51" spans="1:30" x14ac:dyDescent="0.25">
      <c r="A51" s="26">
        <v>100000017902</v>
      </c>
      <c r="B51" s="51" t="s">
        <v>97</v>
      </c>
      <c r="C51" s="43">
        <v>1258</v>
      </c>
      <c r="D51" s="36">
        <f t="shared" si="98"/>
        <v>1258</v>
      </c>
      <c r="K51" s="7">
        <f t="shared" si="102"/>
        <v>0</v>
      </c>
      <c r="P51" s="7">
        <f t="shared" si="99"/>
        <v>0</v>
      </c>
      <c r="Y51" s="7">
        <f t="shared" si="100"/>
        <v>0</v>
      </c>
      <c r="AD51" s="7">
        <f>C51</f>
        <v>1258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8"/>
        <v>150</v>
      </c>
      <c r="K52" s="7">
        <f t="shared" si="102"/>
        <v>0</v>
      </c>
      <c r="P52" s="7">
        <f t="shared" si="99"/>
        <v>0</v>
      </c>
      <c r="T52" s="7">
        <f>C52</f>
        <v>150</v>
      </c>
      <c r="Y52" s="7">
        <f t="shared" si="100"/>
        <v>0</v>
      </c>
      <c r="AD52" s="7">
        <v>0</v>
      </c>
    </row>
    <row r="53" spans="1:30" x14ac:dyDescent="0.25">
      <c r="A53" s="26">
        <v>100000006034</v>
      </c>
      <c r="B53" s="51" t="s">
        <v>99</v>
      </c>
      <c r="C53" s="36">
        <v>18592</v>
      </c>
      <c r="D53" s="36">
        <f t="shared" si="98"/>
        <v>18592</v>
      </c>
      <c r="K53" s="7">
        <v>0</v>
      </c>
      <c r="P53" s="7">
        <f>C53*0.92</f>
        <v>17104.64</v>
      </c>
      <c r="Y53" s="7">
        <f>C53*0.08</f>
        <v>1487.3600000000001</v>
      </c>
      <c r="AD53" s="7">
        <f t="shared" si="101"/>
        <v>0</v>
      </c>
    </row>
    <row r="54" spans="1:30" x14ac:dyDescent="0.25">
      <c r="A54" s="26">
        <v>100000029187</v>
      </c>
      <c r="B54" s="27" t="s">
        <v>31</v>
      </c>
      <c r="C54" s="45">
        <v>3500</v>
      </c>
      <c r="D54" s="36">
        <f t="shared" si="98"/>
        <v>3500</v>
      </c>
      <c r="F54" s="37"/>
      <c r="G54" s="37"/>
      <c r="H54" s="37"/>
      <c r="I54" s="37"/>
      <c r="J54" s="37"/>
      <c r="K54" s="7">
        <v>0</v>
      </c>
      <c r="P54" s="7">
        <f>C54*0.8</f>
        <v>2800</v>
      </c>
      <c r="Y54" s="7">
        <v>0</v>
      </c>
      <c r="AD54" s="7">
        <f>C54*0.2</f>
        <v>700</v>
      </c>
    </row>
    <row r="55" spans="1:30" x14ac:dyDescent="0.25">
      <c r="A55" s="26">
        <v>100000006028</v>
      </c>
      <c r="B55" s="27" t="s">
        <v>32</v>
      </c>
      <c r="C55" s="45">
        <v>13</v>
      </c>
      <c r="D55" s="36">
        <f t="shared" si="98"/>
        <v>13</v>
      </c>
      <c r="F55" s="37"/>
      <c r="G55" s="37"/>
      <c r="H55" s="37"/>
      <c r="I55" s="37"/>
      <c r="J55" s="37"/>
      <c r="K55" s="7">
        <f>C55</f>
        <v>13</v>
      </c>
      <c r="P55" s="7">
        <f t="shared" si="99"/>
        <v>0</v>
      </c>
      <c r="Y55" s="7">
        <f t="shared" si="100"/>
        <v>0</v>
      </c>
      <c r="AD55" s="7">
        <f t="shared" si="101"/>
        <v>0</v>
      </c>
    </row>
    <row r="56" spans="1:30" x14ac:dyDescent="0.25">
      <c r="A56" s="26">
        <v>100000006029</v>
      </c>
      <c r="B56" s="27" t="s">
        <v>33</v>
      </c>
      <c r="C56" s="45">
        <v>56</v>
      </c>
      <c r="D56" s="36">
        <f t="shared" si="98"/>
        <v>56</v>
      </c>
      <c r="F56" s="38"/>
      <c r="G56" s="38"/>
      <c r="H56" s="38"/>
      <c r="I56" s="38"/>
      <c r="J56" s="38"/>
      <c r="K56" s="7">
        <f t="shared" ref="K56:K58" si="103">C56</f>
        <v>56</v>
      </c>
      <c r="P56" s="7">
        <f t="shared" si="99"/>
        <v>0</v>
      </c>
      <c r="Y56" s="7">
        <f t="shared" si="100"/>
        <v>0</v>
      </c>
      <c r="AD56" s="7">
        <f t="shared" si="101"/>
        <v>0</v>
      </c>
    </row>
    <row r="57" spans="1:30" x14ac:dyDescent="0.25">
      <c r="A57" s="26">
        <v>100000006030</v>
      </c>
      <c r="B57" s="27" t="s">
        <v>34</v>
      </c>
      <c r="C57" s="45">
        <v>75</v>
      </c>
      <c r="D57" s="36">
        <f t="shared" si="98"/>
        <v>75</v>
      </c>
      <c r="F57" s="38"/>
      <c r="G57" s="38"/>
      <c r="H57" s="38"/>
      <c r="I57" s="38"/>
      <c r="J57" s="38"/>
      <c r="K57" s="7">
        <f t="shared" si="103"/>
        <v>75</v>
      </c>
      <c r="P57" s="7">
        <f t="shared" si="99"/>
        <v>0</v>
      </c>
      <c r="Y57" s="7">
        <f t="shared" si="100"/>
        <v>0</v>
      </c>
      <c r="AD57" s="7">
        <f t="shared" si="101"/>
        <v>0</v>
      </c>
    </row>
    <row r="58" spans="1:30" x14ac:dyDescent="0.25">
      <c r="A58" s="26">
        <v>100000006031</v>
      </c>
      <c r="B58" s="27" t="s">
        <v>35</v>
      </c>
      <c r="C58" s="45">
        <v>225</v>
      </c>
      <c r="D58" s="36">
        <f t="shared" si="98"/>
        <v>225</v>
      </c>
      <c r="F58" s="38"/>
      <c r="G58" s="38"/>
      <c r="H58" s="38"/>
      <c r="I58" s="38"/>
      <c r="J58" s="38"/>
      <c r="K58" s="7">
        <f t="shared" si="103"/>
        <v>225</v>
      </c>
      <c r="P58" s="7">
        <f t="shared" si="99"/>
        <v>0</v>
      </c>
      <c r="Y58" s="7">
        <f t="shared" si="100"/>
        <v>0</v>
      </c>
      <c r="AD58" s="7">
        <f t="shared" si="101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8"/>
        <v>0</v>
      </c>
      <c r="F59" s="38"/>
      <c r="G59" s="38"/>
      <c r="H59" s="38"/>
      <c r="I59" s="38"/>
      <c r="J59" s="38"/>
      <c r="K59" s="7">
        <f t="shared" si="102"/>
        <v>0</v>
      </c>
      <c r="P59" s="7">
        <f t="shared" si="99"/>
        <v>0</v>
      </c>
      <c r="Y59" s="7">
        <f t="shared" si="100"/>
        <v>0</v>
      </c>
      <c r="AD59" s="7">
        <f t="shared" si="101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8"/>
        <v>0</v>
      </c>
      <c r="F60" s="38"/>
      <c r="G60" s="38"/>
      <c r="H60" s="38"/>
      <c r="I60" s="38"/>
      <c r="J60" s="38"/>
      <c r="K60" s="7">
        <f t="shared" si="102"/>
        <v>0</v>
      </c>
      <c r="P60" s="7">
        <f t="shared" si="99"/>
        <v>0</v>
      </c>
      <c r="Y60" s="7">
        <f t="shared" si="100"/>
        <v>0</v>
      </c>
      <c r="AD60" s="7">
        <f t="shared" si="101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8"/>
        <v>0</v>
      </c>
      <c r="F61" s="38"/>
      <c r="G61" s="38"/>
      <c r="H61" s="38"/>
      <c r="I61" s="38"/>
      <c r="J61" s="38"/>
      <c r="K61" s="7">
        <f t="shared" si="102"/>
        <v>0</v>
      </c>
      <c r="P61" s="7">
        <f t="shared" si="99"/>
        <v>0</v>
      </c>
      <c r="Y61" s="7">
        <f t="shared" si="100"/>
        <v>0</v>
      </c>
      <c r="AD61" s="7">
        <f t="shared" si="101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8"/>
        <v>0</v>
      </c>
      <c r="F62" s="38"/>
      <c r="G62" s="38"/>
      <c r="H62" s="38"/>
      <c r="I62" s="38"/>
      <c r="J62" s="38"/>
      <c r="K62" s="7">
        <f t="shared" si="102"/>
        <v>0</v>
      </c>
      <c r="P62" s="7">
        <f t="shared" si="99"/>
        <v>0</v>
      </c>
      <c r="Y62" s="7">
        <f t="shared" si="100"/>
        <v>0</v>
      </c>
      <c r="AD62" s="7">
        <f t="shared" si="101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98"/>
        <v>7000</v>
      </c>
      <c r="F63" s="38"/>
      <c r="G63" s="38"/>
      <c r="H63" s="38"/>
      <c r="I63" s="38"/>
      <c r="J63" s="38"/>
      <c r="K63" s="7">
        <f t="shared" si="102"/>
        <v>0</v>
      </c>
      <c r="P63" s="7">
        <f t="shared" si="99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20038</v>
      </c>
      <c r="D64" s="36">
        <f t="shared" si="98"/>
        <v>20038</v>
      </c>
      <c r="K64" s="7">
        <f>C64*0.26</f>
        <v>5209.88</v>
      </c>
      <c r="P64" s="7">
        <v>0</v>
      </c>
      <c r="Y64" s="7">
        <f>C64*0.4</f>
        <v>8015.2000000000007</v>
      </c>
      <c r="AD64" s="7">
        <f>C64*0.34</f>
        <v>6812.92</v>
      </c>
    </row>
    <row r="65" spans="1:32" x14ac:dyDescent="0.25">
      <c r="A65" s="26">
        <v>100000017891</v>
      </c>
      <c r="B65" s="51" t="s">
        <v>101</v>
      </c>
      <c r="C65" s="45">
        <f>12562+1250</f>
        <v>13812</v>
      </c>
      <c r="D65" s="36">
        <f t="shared" si="98"/>
        <v>13812</v>
      </c>
      <c r="K65" s="7">
        <f>C65*0.8</f>
        <v>11049.6</v>
      </c>
      <c r="Y65" s="7">
        <v>0</v>
      </c>
      <c r="AD65" s="7">
        <f>C65*0.2</f>
        <v>2762.4</v>
      </c>
    </row>
    <row r="66" spans="1:32" x14ac:dyDescent="0.25">
      <c r="A66" s="26">
        <v>100000018687</v>
      </c>
      <c r="B66" s="51" t="s">
        <v>102</v>
      </c>
      <c r="C66" s="43">
        <f>10120+500</f>
        <v>10620</v>
      </c>
      <c r="D66" s="36">
        <f t="shared" si="98"/>
        <v>10620</v>
      </c>
      <c r="K66" s="7">
        <f t="shared" si="102"/>
        <v>0</v>
      </c>
      <c r="P66" s="7">
        <f t="shared" si="99"/>
        <v>0</v>
      </c>
      <c r="T66" s="7">
        <f>C66*0.5</f>
        <v>5310</v>
      </c>
      <c r="Y66" s="7">
        <f t="shared" si="100"/>
        <v>0</v>
      </c>
      <c r="AD66" s="7">
        <f>C66*0.5</f>
        <v>5310</v>
      </c>
      <c r="AF66" s="7">
        <f>AD66*4.6%</f>
        <v>244.26</v>
      </c>
    </row>
    <row r="67" spans="1:32" x14ac:dyDescent="0.25">
      <c r="A67" s="26">
        <v>100000006037</v>
      </c>
      <c r="B67" s="27" t="s">
        <v>43</v>
      </c>
      <c r="C67" s="43">
        <v>2178</v>
      </c>
      <c r="D67" s="36">
        <f t="shared" si="98"/>
        <v>2178</v>
      </c>
      <c r="K67" s="7">
        <f>C67</f>
        <v>2178</v>
      </c>
      <c r="P67" s="7">
        <f t="shared" si="99"/>
        <v>0</v>
      </c>
      <c r="Y67" s="7">
        <f t="shared" si="100"/>
        <v>0</v>
      </c>
      <c r="AD67" s="7">
        <f t="shared" si="101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98"/>
        <v>300</v>
      </c>
      <c r="K68" s="7">
        <f t="shared" ref="K68:K69" si="104">C68</f>
        <v>300</v>
      </c>
      <c r="P68" s="7">
        <f t="shared" si="99"/>
        <v>0</v>
      </c>
      <c r="Y68" s="7">
        <f t="shared" si="100"/>
        <v>0</v>
      </c>
      <c r="AD68" s="7">
        <f t="shared" si="101"/>
        <v>0</v>
      </c>
    </row>
    <row r="69" spans="1:32" x14ac:dyDescent="0.25">
      <c r="A69" s="26">
        <v>100000002988</v>
      </c>
      <c r="B69" s="25" t="s">
        <v>132</v>
      </c>
      <c r="C69" s="43">
        <f>78+204+204</f>
        <v>486</v>
      </c>
      <c r="D69" s="36">
        <f t="shared" si="98"/>
        <v>486</v>
      </c>
      <c r="K69" s="7">
        <f t="shared" si="104"/>
        <v>486</v>
      </c>
      <c r="P69" s="7">
        <f t="shared" si="99"/>
        <v>0</v>
      </c>
      <c r="Y69" s="7">
        <f t="shared" si="100"/>
        <v>0</v>
      </c>
      <c r="AD69" s="7">
        <f t="shared" si="101"/>
        <v>0</v>
      </c>
    </row>
    <row r="70" spans="1:32" x14ac:dyDescent="0.25">
      <c r="A70" s="26">
        <v>100000002974</v>
      </c>
      <c r="B70" s="27" t="s">
        <v>47</v>
      </c>
      <c r="C70" s="45">
        <v>2700</v>
      </c>
      <c r="D70" s="36">
        <f t="shared" si="98"/>
        <v>2700</v>
      </c>
      <c r="K70" s="7">
        <f>C70*0.1</f>
        <v>270</v>
      </c>
      <c r="P70" s="7">
        <f>C70*0.75</f>
        <v>2025</v>
      </c>
      <c r="Y70" s="7">
        <f t="shared" si="100"/>
        <v>0</v>
      </c>
      <c r="AD70" s="7">
        <f>C70*0.15</f>
        <v>405</v>
      </c>
    </row>
    <row r="71" spans="1:32" x14ac:dyDescent="0.25">
      <c r="A71" s="26">
        <v>100000002976</v>
      </c>
      <c r="B71" s="27" t="s">
        <v>48</v>
      </c>
      <c r="C71" s="45">
        <v>1745</v>
      </c>
      <c r="D71" s="36">
        <f t="shared" si="98"/>
        <v>1745</v>
      </c>
      <c r="K71" s="7">
        <f>C71-Y71-AD71</f>
        <v>449.69165625000005</v>
      </c>
      <c r="P71" s="7">
        <f t="shared" ref="P71:P74" si="105">SUM(M71:O71)</f>
        <v>0</v>
      </c>
      <c r="Y71" s="7">
        <f>0.05*Y17*0.74</f>
        <v>597.30834375000006</v>
      </c>
      <c r="AD71" s="7">
        <f>C71*0.4</f>
        <v>698</v>
      </c>
    </row>
    <row r="72" spans="1:32" x14ac:dyDescent="0.25">
      <c r="A72" s="26">
        <v>100000002977</v>
      </c>
      <c r="B72" s="27" t="s">
        <v>49</v>
      </c>
      <c r="C72" s="45">
        <v>302</v>
      </c>
      <c r="D72" s="36">
        <f t="shared" si="98"/>
        <v>302</v>
      </c>
      <c r="K72" s="7">
        <f t="shared" ref="K72:K74" si="106">C72-Y72-AD72</f>
        <v>76.267453124999975</v>
      </c>
      <c r="P72" s="7">
        <f t="shared" si="105"/>
        <v>0</v>
      </c>
      <c r="Y72" s="7">
        <f>0.05*Y17*0.13</f>
        <v>104.93254687500001</v>
      </c>
      <c r="AD72" s="7">
        <f>C72*0.4</f>
        <v>120.80000000000001</v>
      </c>
    </row>
    <row r="73" spans="1:32" x14ac:dyDescent="0.25">
      <c r="A73" s="26">
        <v>100000002978</v>
      </c>
      <c r="B73" s="27" t="s">
        <v>50</v>
      </c>
      <c r="C73" s="45">
        <v>107</v>
      </c>
      <c r="D73" s="36">
        <f t="shared" si="98"/>
        <v>107</v>
      </c>
      <c r="K73" s="7">
        <f t="shared" si="106"/>
        <v>42.426124999999985</v>
      </c>
      <c r="P73" s="7">
        <f t="shared" si="105"/>
        <v>0</v>
      </c>
      <c r="Y73" s="7">
        <f>0.05*Y17*0.08</f>
        <v>64.573875000000015</v>
      </c>
    </row>
    <row r="74" spans="1:32" x14ac:dyDescent="0.25">
      <c r="A74" s="26">
        <v>100000015941</v>
      </c>
      <c r="B74" s="27" t="s">
        <v>51</v>
      </c>
      <c r="C74" s="45">
        <v>96</v>
      </c>
      <c r="D74" s="36">
        <f t="shared" si="98"/>
        <v>96</v>
      </c>
      <c r="K74" s="7">
        <f t="shared" si="106"/>
        <v>55.641328124999994</v>
      </c>
      <c r="P74" s="7">
        <f t="shared" si="105"/>
        <v>0</v>
      </c>
      <c r="Y74" s="7">
        <f>0.05*Y17*0.05</f>
        <v>40.358671875000006</v>
      </c>
    </row>
    <row r="75" spans="1:32" x14ac:dyDescent="0.25">
      <c r="A75" s="26">
        <v>100000017899</v>
      </c>
      <c r="B75" s="27" t="s">
        <v>52</v>
      </c>
      <c r="C75" s="43">
        <v>20</v>
      </c>
      <c r="D75" s="36">
        <f t="shared" si="98"/>
        <v>20</v>
      </c>
      <c r="K75" s="7">
        <f t="shared" si="102"/>
        <v>0</v>
      </c>
      <c r="P75" s="7">
        <f t="shared" si="99"/>
        <v>0</v>
      </c>
      <c r="T75" s="7">
        <f>C75</f>
        <v>20</v>
      </c>
      <c r="Y75" s="7">
        <f t="shared" si="100"/>
        <v>0</v>
      </c>
      <c r="AD75" s="7">
        <v>0</v>
      </c>
    </row>
    <row r="76" spans="1:32" x14ac:dyDescent="0.25">
      <c r="A76" s="26">
        <v>100000017897</v>
      </c>
      <c r="B76" s="27" t="s">
        <v>53</v>
      </c>
      <c r="C76" s="43">
        <f>C66*4.5%</f>
        <v>477.9</v>
      </c>
      <c r="D76" s="36">
        <f t="shared" si="98"/>
        <v>477.9</v>
      </c>
      <c r="K76" s="7">
        <f t="shared" si="102"/>
        <v>0</v>
      </c>
      <c r="P76" s="7">
        <f t="shared" si="99"/>
        <v>0</v>
      </c>
      <c r="T76" s="7">
        <f>C76*0.5</f>
        <v>238.95</v>
      </c>
      <c r="Y76" s="7">
        <f t="shared" si="100"/>
        <v>0</v>
      </c>
      <c r="AD76" s="7">
        <f>C76*0.5</f>
        <v>238.95</v>
      </c>
    </row>
    <row r="77" spans="1:32" x14ac:dyDescent="0.25">
      <c r="A77" s="26"/>
      <c r="B77" s="27" t="s">
        <v>121</v>
      </c>
      <c r="C77" s="36">
        <v>113</v>
      </c>
      <c r="D77" s="36">
        <f t="shared" si="98"/>
        <v>113</v>
      </c>
      <c r="K77" s="7">
        <f>C77</f>
        <v>113</v>
      </c>
    </row>
    <row r="78" spans="1:32" x14ac:dyDescent="0.25">
      <c r="A78" s="26"/>
      <c r="B78" s="27" t="s">
        <v>122</v>
      </c>
      <c r="C78" s="36">
        <v>23</v>
      </c>
      <c r="D78" s="36">
        <f t="shared" si="98"/>
        <v>23</v>
      </c>
      <c r="K78" s="7">
        <f t="shared" ref="K78:K80" si="107">C78</f>
        <v>23</v>
      </c>
    </row>
    <row r="79" spans="1:32" x14ac:dyDescent="0.25">
      <c r="A79" s="26"/>
      <c r="B79" s="27" t="s">
        <v>127</v>
      </c>
      <c r="C79" s="36">
        <v>8</v>
      </c>
      <c r="D79" s="36">
        <f t="shared" si="98"/>
        <v>8</v>
      </c>
      <c r="K79" s="7">
        <f t="shared" si="107"/>
        <v>8</v>
      </c>
    </row>
    <row r="80" spans="1:32" x14ac:dyDescent="0.25">
      <c r="A80" s="26"/>
      <c r="B80" s="27" t="s">
        <v>128</v>
      </c>
      <c r="C80" s="36">
        <v>8</v>
      </c>
      <c r="D80" s="36">
        <f t="shared" si="98"/>
        <v>8</v>
      </c>
      <c r="K80" s="7">
        <f t="shared" si="107"/>
        <v>8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8"/>
        <v>0</v>
      </c>
      <c r="K81" s="7">
        <f t="shared" si="102"/>
        <v>0</v>
      </c>
      <c r="P81" s="7">
        <f t="shared" si="99"/>
        <v>0</v>
      </c>
      <c r="Y81" s="7">
        <f t="shared" si="100"/>
        <v>0</v>
      </c>
      <c r="AD81" s="7">
        <f t="shared" si="101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8"/>
        <v>700</v>
      </c>
      <c r="K82" s="7">
        <v>700</v>
      </c>
      <c r="P82" s="7">
        <f t="shared" si="99"/>
        <v>0</v>
      </c>
      <c r="Y82" s="7">
        <f t="shared" si="100"/>
        <v>0</v>
      </c>
      <c r="AD82" s="7">
        <f t="shared" si="101"/>
        <v>0</v>
      </c>
    </row>
    <row r="83" spans="1:32" x14ac:dyDescent="0.25">
      <c r="A83" s="26">
        <v>100000021592</v>
      </c>
      <c r="B83" s="27" t="s">
        <v>56</v>
      </c>
      <c r="C83" s="45">
        <v>222</v>
      </c>
      <c r="D83" s="36">
        <f t="shared" si="98"/>
        <v>222</v>
      </c>
      <c r="K83" s="7">
        <f t="shared" si="102"/>
        <v>0</v>
      </c>
      <c r="P83" s="7">
        <f t="shared" si="99"/>
        <v>0</v>
      </c>
      <c r="T83" s="7">
        <f>C83</f>
        <v>222</v>
      </c>
      <c r="Y83" s="7">
        <f t="shared" si="100"/>
        <v>0</v>
      </c>
      <c r="AD83" s="7">
        <v>0</v>
      </c>
    </row>
    <row r="84" spans="1:32" x14ac:dyDescent="0.25">
      <c r="A84" s="26">
        <v>100000023573</v>
      </c>
      <c r="B84" s="27" t="s">
        <v>135</v>
      </c>
      <c r="C84" s="43"/>
      <c r="D84" s="36">
        <f t="shared" si="98"/>
        <v>0</v>
      </c>
      <c r="K84" s="7">
        <f t="shared" si="102"/>
        <v>0</v>
      </c>
      <c r="P84" s="7">
        <f t="shared" si="99"/>
        <v>0</v>
      </c>
      <c r="Y84" s="7">
        <f t="shared" si="100"/>
        <v>0</v>
      </c>
      <c r="AD84" s="7">
        <f t="shared" si="101"/>
        <v>0</v>
      </c>
    </row>
    <row r="85" spans="1:32" x14ac:dyDescent="0.25">
      <c r="A85" s="26">
        <v>100000023571</v>
      </c>
      <c r="B85" s="27" t="s">
        <v>136</v>
      </c>
      <c r="C85" s="43"/>
      <c r="D85" s="36">
        <f t="shared" si="98"/>
        <v>0</v>
      </c>
      <c r="K85" s="7">
        <f t="shared" si="102"/>
        <v>0</v>
      </c>
      <c r="P85" s="7">
        <f t="shared" si="99"/>
        <v>0</v>
      </c>
      <c r="Y85" s="7">
        <f t="shared" si="100"/>
        <v>0</v>
      </c>
      <c r="AD85" s="7">
        <f t="shared" si="101"/>
        <v>0</v>
      </c>
    </row>
    <row r="86" spans="1:32" x14ac:dyDescent="0.25">
      <c r="A86" s="26">
        <v>100000023572</v>
      </c>
      <c r="B86" s="27" t="s">
        <v>61</v>
      </c>
      <c r="C86" s="43"/>
      <c r="D86" s="36">
        <f t="shared" si="98"/>
        <v>0</v>
      </c>
      <c r="K86" s="7">
        <f t="shared" si="102"/>
        <v>0</v>
      </c>
      <c r="P86" s="7">
        <f t="shared" si="99"/>
        <v>0</v>
      </c>
      <c r="Y86" s="7">
        <f t="shared" si="100"/>
        <v>0</v>
      </c>
      <c r="AD86" s="7">
        <f t="shared" si="101"/>
        <v>0</v>
      </c>
    </row>
    <row r="87" spans="1:32" x14ac:dyDescent="0.25">
      <c r="A87" s="26">
        <v>100000023574</v>
      </c>
      <c r="B87" s="27" t="s">
        <v>138</v>
      </c>
      <c r="C87" s="43"/>
      <c r="D87" s="36">
        <f t="shared" si="98"/>
        <v>0</v>
      </c>
      <c r="K87" s="7">
        <f t="shared" si="102"/>
        <v>0</v>
      </c>
      <c r="P87" s="7">
        <f t="shared" si="99"/>
        <v>0</v>
      </c>
      <c r="Y87" s="7">
        <f t="shared" si="100"/>
        <v>0</v>
      </c>
      <c r="AD87" s="7">
        <f t="shared" si="101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8"/>
        <v>0</v>
      </c>
      <c r="K88" s="7">
        <f t="shared" si="102"/>
        <v>0</v>
      </c>
      <c r="P88" s="7">
        <f t="shared" si="99"/>
        <v>0</v>
      </c>
      <c r="Y88" s="7">
        <f t="shared" si="100"/>
        <v>0</v>
      </c>
      <c r="AD88" s="7">
        <f t="shared" si="101"/>
        <v>0</v>
      </c>
    </row>
    <row r="89" spans="1:32" x14ac:dyDescent="0.25">
      <c r="A89" s="26">
        <v>100000025748</v>
      </c>
      <c r="B89" s="27" t="s">
        <v>62</v>
      </c>
      <c r="C89" s="45">
        <v>900</v>
      </c>
      <c r="D89" s="36">
        <f t="shared" si="98"/>
        <v>900</v>
      </c>
      <c r="K89" s="7">
        <f>C89</f>
        <v>900</v>
      </c>
      <c r="P89" s="7">
        <f t="shared" si="99"/>
        <v>0</v>
      </c>
      <c r="Y89" s="7">
        <f t="shared" si="100"/>
        <v>0</v>
      </c>
      <c r="AD89" s="7">
        <f t="shared" si="101"/>
        <v>0</v>
      </c>
    </row>
    <row r="90" spans="1:32" x14ac:dyDescent="0.25">
      <c r="A90" s="26">
        <v>100000025749</v>
      </c>
      <c r="B90" s="28" t="s">
        <v>63</v>
      </c>
      <c r="C90" s="45">
        <v>300</v>
      </c>
      <c r="D90" s="36">
        <f t="shared" si="98"/>
        <v>300</v>
      </c>
      <c r="K90" s="7">
        <f>C90</f>
        <v>300</v>
      </c>
      <c r="P90" s="7">
        <f t="shared" si="99"/>
        <v>0</v>
      </c>
      <c r="Y90" s="7">
        <f t="shared" si="100"/>
        <v>0</v>
      </c>
      <c r="AD90" s="7">
        <f t="shared" si="101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0</v>
      </c>
      <c r="D92" s="36">
        <f>K92+P92+T92+Y92+AD92</f>
        <v>0</v>
      </c>
      <c r="K92" s="7">
        <f t="shared" si="102"/>
        <v>0</v>
      </c>
      <c r="P92" s="7">
        <f t="shared" si="99"/>
        <v>0</v>
      </c>
      <c r="Y92" s="7">
        <f t="shared" si="100"/>
        <v>0</v>
      </c>
      <c r="AD92" s="7">
        <f t="shared" si="101"/>
        <v>0</v>
      </c>
    </row>
    <row r="93" spans="1:32" x14ac:dyDescent="0.25">
      <c r="A93" s="77" t="s">
        <v>65</v>
      </c>
      <c r="B93" s="78"/>
      <c r="C93" s="36">
        <f>SUM(C45:C92)</f>
        <v>86754.2</v>
      </c>
      <c r="D93" s="36">
        <f>K93+P93+T93+Y93+AD93</f>
        <v>86754.2</v>
      </c>
      <c r="K93" s="36">
        <f>SUM(K45:K92)</f>
        <v>22658.506562500002</v>
      </c>
      <c r="P93" s="36">
        <f>SUM(P45:P92)</f>
        <v>21929.64</v>
      </c>
      <c r="S93" s="36"/>
      <c r="T93" s="36">
        <f>SUM(T45:T92)</f>
        <v>6170.5999999999995</v>
      </c>
      <c r="Y93" s="36">
        <f>SUM(Y45:Y92)</f>
        <v>16559.733437500003</v>
      </c>
      <c r="AD93" s="36">
        <f>SUM(AD45:AD92)</f>
        <v>19435.72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2700</v>
      </c>
      <c r="D95" s="36">
        <f>K95+P95+T95+Y95+AD95</f>
        <v>2700</v>
      </c>
      <c r="H95" s="7">
        <f>K95</f>
        <v>270</v>
      </c>
      <c r="K95" s="36">
        <f>K70+K47</f>
        <v>270</v>
      </c>
      <c r="N95" s="7">
        <f>P95*0.5</f>
        <v>1012.5</v>
      </c>
      <c r="O95" s="7">
        <f>P95*0.5</f>
        <v>1012.5</v>
      </c>
      <c r="P95" s="36">
        <f>P70+P47</f>
        <v>2025</v>
      </c>
      <c r="R95" s="36">
        <f>T70+T47</f>
        <v>0</v>
      </c>
      <c r="S95" s="36"/>
      <c r="T95" s="36"/>
      <c r="Y95" s="36">
        <f>Y70+Y47</f>
        <v>0</v>
      </c>
      <c r="AC95" s="7">
        <f>AD95</f>
        <v>405</v>
      </c>
      <c r="AD95" s="36">
        <f>AD70+AD47</f>
        <v>405</v>
      </c>
      <c r="AF95" s="36">
        <f>K95+P95+R95+Y95+AD95</f>
        <v>2700</v>
      </c>
    </row>
    <row r="96" spans="1:32" x14ac:dyDescent="0.25">
      <c r="A96" s="26">
        <v>100000002975</v>
      </c>
      <c r="B96" s="29" t="s">
        <v>21</v>
      </c>
      <c r="C96" s="36">
        <f>C74+C73+C72+C71</f>
        <v>2250</v>
      </c>
      <c r="D96" s="36">
        <f t="shared" ref="D96:D111" si="108">K96+P96+T96+Y96+AD96</f>
        <v>2250</v>
      </c>
      <c r="J96" s="7">
        <f>K96</f>
        <v>624.02656249999995</v>
      </c>
      <c r="K96" s="36">
        <f>K74+K73+K72+K71</f>
        <v>624.02656249999995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250.72623750000008</v>
      </c>
      <c r="W96" s="7">
        <f>0.06*SUM(W99:W110)</f>
        <v>278.22359999999998</v>
      </c>
      <c r="X96" s="7">
        <f>0.06*SUM(X99:X110)</f>
        <v>278.22359999999998</v>
      </c>
      <c r="Y96" s="36">
        <f>Y74+Y73+Y72+Y71</f>
        <v>807.17343750000009</v>
      </c>
      <c r="AA96" s="7">
        <f>AD96*0.5</f>
        <v>409.4</v>
      </c>
      <c r="AB96" s="7">
        <f>AD96*0.25</f>
        <v>204.7</v>
      </c>
      <c r="AC96" s="7">
        <f>AD96*0.25</f>
        <v>204.7</v>
      </c>
      <c r="AD96" s="36">
        <f>AD74+AD73+AD72+AD71</f>
        <v>818.8</v>
      </c>
      <c r="AF96" s="36">
        <f t="shared" ref="AF96:AF110" si="109">K96+P96+R96+Y96+AD96</f>
        <v>2250</v>
      </c>
    </row>
    <row r="97" spans="1:32" x14ac:dyDescent="0.25">
      <c r="A97" s="26">
        <v>100000002980</v>
      </c>
      <c r="B97" s="29" t="s">
        <v>67</v>
      </c>
      <c r="C97" s="36">
        <v>0</v>
      </c>
      <c r="D97" s="36">
        <f t="shared" si="108"/>
        <v>0</v>
      </c>
      <c r="K97" s="36">
        <v>0</v>
      </c>
      <c r="P97" s="36">
        <v>0</v>
      </c>
      <c r="R97" s="36">
        <v>0</v>
      </c>
      <c r="S97" s="36"/>
      <c r="T97" s="36"/>
      <c r="Y97" s="36">
        <v>0</v>
      </c>
      <c r="AD97" s="36">
        <v>0</v>
      </c>
      <c r="AF97" s="36">
        <f t="shared" si="109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8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9"/>
        <v>0</v>
      </c>
    </row>
    <row r="99" spans="1:32" x14ac:dyDescent="0.25">
      <c r="A99" s="26">
        <v>100000002982</v>
      </c>
      <c r="B99" s="29" t="s">
        <v>69</v>
      </c>
      <c r="C99" s="36">
        <f>C64+C69</f>
        <v>20524</v>
      </c>
      <c r="D99" s="36">
        <f t="shared" si="108"/>
        <v>20524</v>
      </c>
      <c r="G99" s="7">
        <f>K99*0.5</f>
        <v>2847.94</v>
      </c>
      <c r="H99" s="7">
        <f>K99*0.5</f>
        <v>2847.94</v>
      </c>
      <c r="K99" s="36">
        <f>K64+K69</f>
        <v>5695.88</v>
      </c>
      <c r="N99" s="7">
        <f>P99*0.25</f>
        <v>0</v>
      </c>
      <c r="O99" s="7">
        <f>P99*0.75</f>
        <v>0</v>
      </c>
      <c r="P99" s="36">
        <f>P64+P69</f>
        <v>0</v>
      </c>
      <c r="R99" s="36">
        <f>T64+T69</f>
        <v>0</v>
      </c>
      <c r="S99" s="36"/>
      <c r="T99" s="36"/>
      <c r="V99" s="7">
        <f>Y99*0.4</f>
        <v>3206.0800000000004</v>
      </c>
      <c r="W99" s="7">
        <f>Y99*0.3</f>
        <v>2404.56</v>
      </c>
      <c r="X99" s="7">
        <f>Y99*0.3</f>
        <v>2404.56</v>
      </c>
      <c r="Y99" s="36">
        <f>Y64+Y69</f>
        <v>8015.2000000000007</v>
      </c>
      <c r="AC99" s="7">
        <f>AD99</f>
        <v>6812.92</v>
      </c>
      <c r="AD99" s="36">
        <f>AD64+AD69</f>
        <v>6812.92</v>
      </c>
      <c r="AF99" s="36">
        <f t="shared" si="109"/>
        <v>20524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08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09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2298</v>
      </c>
      <c r="D101" s="36">
        <f t="shared" si="108"/>
        <v>2298</v>
      </c>
      <c r="I101" s="7">
        <f>K101</f>
        <v>2298</v>
      </c>
      <c r="K101" s="36">
        <f>K67+K46</f>
        <v>2298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9"/>
        <v>2298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08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9"/>
        <v>1000</v>
      </c>
    </row>
    <row r="103" spans="1:32" x14ac:dyDescent="0.25">
      <c r="A103" s="26">
        <v>100000006047</v>
      </c>
      <c r="B103" s="29" t="s">
        <v>72</v>
      </c>
      <c r="C103" s="36">
        <f>C53</f>
        <v>18592</v>
      </c>
      <c r="D103" s="36">
        <f t="shared" si="108"/>
        <v>18592</v>
      </c>
      <c r="H103" s="7">
        <f>K103</f>
        <v>0</v>
      </c>
      <c r="K103" s="36">
        <f>K53</f>
        <v>0</v>
      </c>
      <c r="N103" s="7">
        <f>P103*0.5</f>
        <v>8552.32</v>
      </c>
      <c r="O103" s="7">
        <f>P103*0.5</f>
        <v>8552.32</v>
      </c>
      <c r="P103" s="36">
        <f>P53</f>
        <v>17104.64</v>
      </c>
      <c r="R103" s="36">
        <f>T53</f>
        <v>0</v>
      </c>
      <c r="S103" s="36"/>
      <c r="T103" s="36"/>
      <c r="V103" s="7">
        <f>Y103</f>
        <v>1487.3600000000001</v>
      </c>
      <c r="Y103" s="36">
        <f>Y53</f>
        <v>1487.3600000000001</v>
      </c>
      <c r="AD103" s="36">
        <f>AD53</f>
        <v>0</v>
      </c>
      <c r="AF103" s="36">
        <f t="shared" si="109"/>
        <v>18592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1569</v>
      </c>
      <c r="D104" s="36">
        <f t="shared" si="108"/>
        <v>1569</v>
      </c>
      <c r="J104" s="7">
        <f>K104</f>
        <v>1569</v>
      </c>
      <c r="K104" s="36">
        <f>K90+K89+K58+K57+K56+K55</f>
        <v>1569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9"/>
        <v>1569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8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9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8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9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13812</v>
      </c>
      <c r="D107" s="36">
        <f t="shared" si="108"/>
        <v>13812</v>
      </c>
      <c r="G107" s="7">
        <f>K107*0.5</f>
        <v>5524.8</v>
      </c>
      <c r="H107" s="7">
        <f>K107*0.5</f>
        <v>5524.8</v>
      </c>
      <c r="K107" s="36">
        <f>K65</f>
        <v>11049.6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2762.4</v>
      </c>
      <c r="AD107" s="36">
        <f>AD65</f>
        <v>2762.4</v>
      </c>
      <c r="AF107" s="36">
        <f t="shared" si="109"/>
        <v>13812</v>
      </c>
    </row>
    <row r="108" spans="1:32" x14ac:dyDescent="0.25">
      <c r="A108" s="26">
        <v>100000032221</v>
      </c>
      <c r="B108" s="29" t="s">
        <v>77</v>
      </c>
      <c r="C108" s="36">
        <f>C54</f>
        <v>3500</v>
      </c>
      <c r="D108" s="36">
        <f t="shared" si="108"/>
        <v>3500</v>
      </c>
      <c r="G108" s="7">
        <f>K108</f>
        <v>0</v>
      </c>
      <c r="K108" s="36">
        <f>K54</f>
        <v>0</v>
      </c>
      <c r="N108" s="7">
        <f>P108*0.5</f>
        <v>1400</v>
      </c>
      <c r="O108" s="7">
        <f>P108*0.5</f>
        <v>1400</v>
      </c>
      <c r="P108" s="36">
        <f>P54</f>
        <v>2800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700</v>
      </c>
      <c r="AD108" s="36">
        <f>AD54</f>
        <v>700</v>
      </c>
      <c r="AF108" s="36">
        <f t="shared" si="109"/>
        <v>3500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13057.199999999999</v>
      </c>
      <c r="D109" s="36">
        <f t="shared" si="108"/>
        <v>13057.199999999999</v>
      </c>
      <c r="K109" s="36">
        <f>K83+K66+K49+K51+K52+K48+K75+K76</f>
        <v>0</v>
      </c>
      <c r="P109" s="36">
        <f>P83+P66+P49+P51+P52+P48+P75+P76</f>
        <v>0</v>
      </c>
      <c r="R109" s="36">
        <f>T35</f>
        <v>5648.5999999999995</v>
      </c>
      <c r="S109" s="36">
        <f>T36</f>
        <v>522</v>
      </c>
      <c r="T109" s="36">
        <f>T83+T66+T49+T51+T52+T48+T75+T76+T84+T85+T86+T87</f>
        <v>6170.5999999999995</v>
      </c>
      <c r="Y109" s="36">
        <f>Y83+Y66+Y49+Y51+Y52+Y48+Y75+Y76</f>
        <v>0</v>
      </c>
      <c r="AA109" s="7">
        <f>AD35</f>
        <v>5628.5999999999995</v>
      </c>
      <c r="AB109" s="7">
        <f>AD36</f>
        <v>1258</v>
      </c>
      <c r="AD109" s="36">
        <f>AD83+AD66+AD49+AD51+AD52+AD48+AD75+AD76+AD84+AD85+AD86+AD87</f>
        <v>6886.5999999999995</v>
      </c>
      <c r="AF109" s="36">
        <f t="shared" si="109"/>
        <v>12535.199999999999</v>
      </c>
    </row>
    <row r="110" spans="1:32" x14ac:dyDescent="0.25">
      <c r="B110" s="19" t="s">
        <v>84</v>
      </c>
      <c r="C110" s="16">
        <f>C50</f>
        <v>300</v>
      </c>
      <c r="D110" s="36">
        <f t="shared" si="108"/>
        <v>300</v>
      </c>
      <c r="K110" s="16"/>
      <c r="P110" s="16">
        <f>P50</f>
        <v>0</v>
      </c>
      <c r="R110" s="16">
        <f>T50</f>
        <v>0</v>
      </c>
      <c r="S110" s="16"/>
      <c r="T110" s="16"/>
      <c r="W110" s="7">
        <f>Y110*0.5</f>
        <v>150</v>
      </c>
      <c r="X110" s="7">
        <f>Y110*0.5</f>
        <v>150</v>
      </c>
      <c r="Y110" s="16">
        <f>Y50</f>
        <v>300</v>
      </c>
      <c r="AD110" s="16">
        <f>AD50</f>
        <v>0</v>
      </c>
      <c r="AF110" s="36">
        <f t="shared" si="109"/>
        <v>300</v>
      </c>
    </row>
    <row r="111" spans="1:32" x14ac:dyDescent="0.25">
      <c r="B111" s="16" t="s">
        <v>94</v>
      </c>
      <c r="C111" s="16">
        <f>C77+C78+C79+C80</f>
        <v>152</v>
      </c>
      <c r="D111" s="36">
        <f t="shared" si="108"/>
        <v>152</v>
      </c>
      <c r="G111" s="7">
        <f>K111*0.5</f>
        <v>76</v>
      </c>
      <c r="H111" s="7">
        <f>K111*0.5</f>
        <v>76</v>
      </c>
      <c r="K111" s="16">
        <f>K77+K78+K79+K80</f>
        <v>152</v>
      </c>
    </row>
    <row r="112" spans="1:32" x14ac:dyDescent="0.25">
      <c r="AC112" s="7">
        <f>AC100+AC99</f>
        <v>7862.92</v>
      </c>
    </row>
    <row r="113" spans="22:29" x14ac:dyDescent="0.25">
      <c r="AC113" s="7">
        <f>AC112/0.8</f>
        <v>9828.65</v>
      </c>
    </row>
    <row r="114" spans="22:29" x14ac:dyDescent="0.25">
      <c r="AC114" s="7">
        <f>AC113*0.27</f>
        <v>2653.7355000000002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F6:K6"/>
    <mergeCell ref="M6:P6"/>
    <mergeCell ref="V6:Y6"/>
    <mergeCell ref="AA6:AD6"/>
    <mergeCell ref="AI25:AN25"/>
    <mergeCell ref="R6:T6"/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</mergeCells>
  <pageMargins left="0" right="0" top="0.75" bottom="0.75" header="0.3" footer="0.3"/>
  <pageSetup scale="33" fitToHeight="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CE118"/>
  <sheetViews>
    <sheetView topLeftCell="B4" zoomScaleNormal="100" workbookViewId="0">
      <pane xSplit="4" ySplit="4" topLeftCell="BS25" activePane="bottomRight" state="frozen"/>
      <selection activeCell="B4" sqref="B4"/>
      <selection pane="topRight" activeCell="F4" sqref="F4"/>
      <selection pane="bottomLeft" activeCell="B8" sqref="B8"/>
      <selection pane="bottomRight" activeCell="CF40" sqref="CF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10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0.33831134309603217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F4" s="73"/>
      <c r="J4" s="46">
        <f>0.45/0.78</f>
        <v>0.57692307692307687</v>
      </c>
      <c r="K4" s="46">
        <f>0.33/0.78</f>
        <v>0.42307692307692307</v>
      </c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(4.75*2*24)/0.78</f>
        <v>292.30769230769232</v>
      </c>
      <c r="S8" s="5">
        <f>(3.5*1*24)/0.78</f>
        <v>107.69230769230769</v>
      </c>
      <c r="T8" s="5">
        <f>S8+R8</f>
        <v>400</v>
      </c>
      <c r="U8" s="67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(((240/0.78)*0.08)+240)/0.78</f>
        <v>339.25049309664695</v>
      </c>
      <c r="AB8" s="7">
        <f>(((120/0.78)*0.08)+120)/0.78</f>
        <v>169.62524654832347</v>
      </c>
      <c r="AC8" s="5">
        <v>700</v>
      </c>
      <c r="AD8" s="5">
        <f>SUM(AA8:AC8)</f>
        <v>1208.8757396449705</v>
      </c>
      <c r="AF8" s="1">
        <f>AD8+Y8+R8+P8+K8</f>
        <v>6011.1834319526624</v>
      </c>
    </row>
    <row r="9" spans="2:34" x14ac:dyDescent="0.25">
      <c r="B9" s="19" t="s">
        <v>10</v>
      </c>
      <c r="F9" s="22">
        <v>0.78</v>
      </c>
      <c r="G9" s="22">
        <v>0.79500000000000004</v>
      </c>
      <c r="H9" s="22">
        <v>0.79500000000000004</v>
      </c>
      <c r="I9" s="22">
        <v>0.79500000000000004</v>
      </c>
      <c r="J9" s="22">
        <v>0.79500000000000004</v>
      </c>
      <c r="K9" s="22"/>
      <c r="L9" s="13"/>
      <c r="M9" s="22">
        <v>0.79500000000000004</v>
      </c>
      <c r="N9" s="22">
        <v>0.79500000000000004</v>
      </c>
      <c r="O9" s="22">
        <v>0.79500000000000004</v>
      </c>
      <c r="P9" s="22"/>
      <c r="Q9" s="12"/>
      <c r="R9" s="22">
        <v>0.8</v>
      </c>
      <c r="S9" s="22">
        <v>0.8</v>
      </c>
      <c r="T9" s="22"/>
      <c r="U9" s="12"/>
      <c r="V9" s="22">
        <v>0.79500000000000004</v>
      </c>
      <c r="W9" s="22">
        <v>0.79500000000000004</v>
      </c>
      <c r="X9" s="22">
        <v>0.79500000000000004</v>
      </c>
      <c r="Y9" s="22"/>
      <c r="Z9" s="14"/>
      <c r="AA9" s="22">
        <v>0.8</v>
      </c>
      <c r="AB9" s="22">
        <v>0.8</v>
      </c>
      <c r="AC9" s="22">
        <v>0.79500000000000004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397.5</v>
      </c>
      <c r="H10" s="5">
        <f t="shared" si="0"/>
        <v>397.5</v>
      </c>
      <c r="I10" s="5">
        <f t="shared" si="0"/>
        <v>174.9</v>
      </c>
      <c r="J10" s="5">
        <f t="shared" si="0"/>
        <v>214.65</v>
      </c>
      <c r="K10" s="5">
        <f>SUM(F10:J10)</f>
        <v>1356.15</v>
      </c>
      <c r="L10" s="3"/>
      <c r="M10" s="5">
        <f t="shared" ref="M10:O10" si="1">M8*M9</f>
        <v>397.5</v>
      </c>
      <c r="N10" s="5">
        <f t="shared" si="1"/>
        <v>556.5</v>
      </c>
      <c r="O10" s="5">
        <f t="shared" si="1"/>
        <v>556.5</v>
      </c>
      <c r="P10" s="5">
        <f>SUM(M10:O10)</f>
        <v>1510.5</v>
      </c>
      <c r="Q10" s="67"/>
      <c r="R10" s="5">
        <f t="shared" ref="R10:S10" si="2">R8*R9</f>
        <v>233.84615384615387</v>
      </c>
      <c r="S10" s="5">
        <f t="shared" si="2"/>
        <v>86.15384615384616</v>
      </c>
      <c r="T10" s="5">
        <f>R10+S10</f>
        <v>320</v>
      </c>
      <c r="U10" s="67"/>
      <c r="V10" s="5">
        <f>V8*V9</f>
        <v>286.2</v>
      </c>
      <c r="W10" s="5">
        <f t="shared" ref="W10:X10" si="3">W8*W9</f>
        <v>214.65</v>
      </c>
      <c r="X10" s="5">
        <f t="shared" si="3"/>
        <v>214.65</v>
      </c>
      <c r="Y10" s="5">
        <f>SUM(V10:X10)</f>
        <v>715.5</v>
      </c>
      <c r="Z10" s="4"/>
      <c r="AA10" s="5">
        <f t="shared" ref="AA10:AC10" si="4">AA8*AA9</f>
        <v>271.40039447731755</v>
      </c>
      <c r="AB10" s="5">
        <f t="shared" si="4"/>
        <v>135.70019723865877</v>
      </c>
      <c r="AC10" s="5">
        <f t="shared" si="4"/>
        <v>556.5</v>
      </c>
      <c r="AD10" s="5">
        <f>SUM(AA10:AC10)</f>
        <v>963.60059171597629</v>
      </c>
      <c r="AF10" s="1">
        <f>AD10+Y10+R10+P10+K10</f>
        <v>4779.5967455621303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/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1.5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1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27.75</v>
      </c>
      <c r="G15" s="40">
        <f t="shared" ref="G15:J15" si="5">G11-G12-G14-G13</f>
        <v>27.75</v>
      </c>
      <c r="H15" s="40">
        <f t="shared" si="5"/>
        <v>27.75</v>
      </c>
      <c r="I15" s="40">
        <f t="shared" si="5"/>
        <v>27.75</v>
      </c>
      <c r="J15" s="40">
        <f t="shared" si="5"/>
        <v>27.75</v>
      </c>
      <c r="K15" s="1"/>
      <c r="M15" s="40">
        <f>M11-M12-M14-M13</f>
        <v>27.75</v>
      </c>
      <c r="N15" s="40">
        <f t="shared" ref="N15:O15" si="6">N11-N12-N14-N13</f>
        <v>27.75</v>
      </c>
      <c r="O15" s="40">
        <f t="shared" si="6"/>
        <v>27.75</v>
      </c>
      <c r="P15" s="1"/>
      <c r="R15" s="40">
        <f>R11-R12-R14-R13</f>
        <v>28.75</v>
      </c>
      <c r="S15" s="40">
        <f>S11-S12-S14-S13</f>
        <v>28.75</v>
      </c>
      <c r="T15" s="40"/>
      <c r="V15" s="40">
        <f t="shared" ref="V15:X15" si="7">V11-V12-V14-V13</f>
        <v>27.75</v>
      </c>
      <c r="W15" s="40">
        <f t="shared" si="7"/>
        <v>27.75</v>
      </c>
      <c r="X15" s="40">
        <f t="shared" si="7"/>
        <v>27.75</v>
      </c>
      <c r="Y15" s="1"/>
      <c r="AA15" s="40">
        <f t="shared" ref="AA15:AC15" si="8">AA11-AA12-AA14-AA13</f>
        <v>28.75</v>
      </c>
      <c r="AB15" s="40">
        <f t="shared" si="8"/>
        <v>28.25</v>
      </c>
      <c r="AC15" s="40">
        <f t="shared" si="8"/>
        <v>28.25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4047.6149999999998</v>
      </c>
      <c r="G17" s="1">
        <f t="shared" ref="G17:J17" si="9">G16*G15*G10</f>
        <v>9927.5625</v>
      </c>
      <c r="H17" s="1">
        <f t="shared" si="9"/>
        <v>9927.5625</v>
      </c>
      <c r="I17" s="1">
        <f t="shared" si="9"/>
        <v>4368.1275000000005</v>
      </c>
      <c r="J17" s="1">
        <f t="shared" si="9"/>
        <v>5360.8837500000009</v>
      </c>
      <c r="K17" s="5">
        <f>SUM(F17:J17)</f>
        <v>33631.751250000001</v>
      </c>
      <c r="M17" s="1">
        <f t="shared" ref="M17:O17" si="10">M16*M15*M10</f>
        <v>9927.5625</v>
      </c>
      <c r="N17" s="1">
        <f t="shared" si="10"/>
        <v>13898.587500000001</v>
      </c>
      <c r="O17" s="1">
        <f t="shared" si="10"/>
        <v>13898.587500000001</v>
      </c>
      <c r="P17" s="5">
        <f>SUM(M17:O17)</f>
        <v>37724.737500000003</v>
      </c>
      <c r="R17" s="1">
        <f>R16*R15*R10</f>
        <v>6386.9230769230771</v>
      </c>
      <c r="S17" s="1">
        <f>S16*S15*S10</f>
        <v>2353.0769230769233</v>
      </c>
      <c r="T17" s="1">
        <f>R17+S17</f>
        <v>8740</v>
      </c>
      <c r="V17" s="1">
        <f>V16*V15*V10</f>
        <v>7544.9474999999993</v>
      </c>
      <c r="W17" s="1">
        <f t="shared" ref="W17:X17" si="11">W16*W15*W10</f>
        <v>5658.7106249999997</v>
      </c>
      <c r="X17" s="1">
        <f t="shared" si="11"/>
        <v>5658.7106249999997</v>
      </c>
      <c r="Y17" s="5">
        <f>SUM(V17:X17)</f>
        <v>18862.368749999998</v>
      </c>
      <c r="AA17" s="70">
        <f>AA16*AA15*AA10</f>
        <v>7022.4852071005917</v>
      </c>
      <c r="AB17" s="70">
        <f>AB16*AB15*AB10</f>
        <v>3450.1775147928993</v>
      </c>
      <c r="AC17" s="1">
        <f t="shared" ref="AC17" si="12">AC16*AC15*AC10</f>
        <v>14149.012500000001</v>
      </c>
      <c r="AD17" s="5">
        <f>SUM(Z17:AC17)</f>
        <v>24621.675221893493</v>
      </c>
      <c r="AF17" s="1">
        <f>AD17+Y17+T17+P17+K17</f>
        <v>123580.5327218935</v>
      </c>
      <c r="AI17" s="46"/>
    </row>
    <row r="19" spans="2:83" x14ac:dyDescent="0.25">
      <c r="B19" s="19" t="s">
        <v>18</v>
      </c>
      <c r="C19" s="16">
        <f>C27+C29+C30+C31+C34+C28</f>
        <v>71131</v>
      </c>
      <c r="D19" s="16">
        <f>D27+D29+D30+D31+D34+D28</f>
        <v>71131</v>
      </c>
      <c r="F19" s="1">
        <f>F17</f>
        <v>4047.6149999999998</v>
      </c>
      <c r="G19" s="1">
        <f t="shared" ref="G19:H19" si="13">G17</f>
        <v>9927.5625</v>
      </c>
      <c r="H19" s="1">
        <f t="shared" si="13"/>
        <v>9927.5625</v>
      </c>
      <c r="I19" s="1"/>
      <c r="J19" s="1"/>
      <c r="K19" s="5">
        <f t="shared" ref="K19:K25" si="14">SUM(F19:J19)</f>
        <v>23902.739999999998</v>
      </c>
      <c r="M19" s="1">
        <f>M17*0.5</f>
        <v>4963.78125</v>
      </c>
      <c r="N19" s="1">
        <f>N17*0.8</f>
        <v>11118.870000000003</v>
      </c>
      <c r="O19" s="1">
        <f>O17</f>
        <v>13898.587500000001</v>
      </c>
      <c r="P19" s="5">
        <f t="shared" ref="P19:P25" si="15">SUM(M19:O19)</f>
        <v>29981.238750000004</v>
      </c>
      <c r="R19" s="1"/>
      <c r="S19" s="1"/>
      <c r="T19" s="1">
        <f t="shared" ref="T19:T24" si="16">R19+S19</f>
        <v>0</v>
      </c>
      <c r="V19" s="1">
        <f>V17-V23</f>
        <v>6975.5174999999999</v>
      </c>
      <c r="W19" s="1">
        <f t="shared" ref="W19:X19" si="17">W17-W23</f>
        <v>5231.6381249999995</v>
      </c>
      <c r="X19" s="1">
        <f t="shared" si="17"/>
        <v>5231.6381249999995</v>
      </c>
      <c r="Y19" s="5">
        <f t="shared" ref="Y19:Y25" si="18">SUM(V19:X19)</f>
        <v>17438.793749999997</v>
      </c>
      <c r="AA19" s="1"/>
      <c r="AB19" s="1"/>
      <c r="AC19" s="1">
        <f>AC17*0.95</f>
        <v>13441.561874999999</v>
      </c>
      <c r="AD19" s="5">
        <f t="shared" ref="AD19:AD25" si="19">SUM(Z19:AC19)</f>
        <v>13441.561874999999</v>
      </c>
      <c r="AF19" s="1">
        <f t="shared" ref="AF19:AF25" si="20">AD19+Y19+R19+P19+K19</f>
        <v>84764.334375000006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J17*0.42</f>
        <v>2251.5711750000005</v>
      </c>
      <c r="K20" s="5">
        <f t="shared" si="14"/>
        <v>2251.5711750000005</v>
      </c>
      <c r="M20" s="1"/>
      <c r="N20" s="1"/>
      <c r="O20" s="1"/>
      <c r="P20" s="5">
        <f t="shared" si="15"/>
        <v>0</v>
      </c>
      <c r="R20" s="1"/>
      <c r="S20" s="1"/>
      <c r="T20" s="1">
        <f t="shared" si="16"/>
        <v>0</v>
      </c>
      <c r="V20" s="1"/>
      <c r="W20" s="1"/>
      <c r="X20" s="1"/>
      <c r="Y20" s="5">
        <f t="shared" si="18"/>
        <v>0</v>
      </c>
      <c r="AA20" s="1"/>
      <c r="AB20" s="1"/>
      <c r="AC20" s="1"/>
      <c r="AD20" s="5"/>
      <c r="AF20" s="1">
        <f t="shared" si="20"/>
        <v>2251.5711750000005</v>
      </c>
    </row>
    <row r="21" spans="2:83" x14ac:dyDescent="0.25">
      <c r="B21" s="19" t="s">
        <v>19</v>
      </c>
      <c r="C21" s="16">
        <f>C33</f>
        <v>2500</v>
      </c>
      <c r="D21" s="16">
        <f>D33</f>
        <v>2500</v>
      </c>
      <c r="F21" s="1"/>
      <c r="G21" s="1"/>
      <c r="H21" s="1"/>
      <c r="I21" s="1"/>
      <c r="J21" s="1"/>
      <c r="K21" s="5">
        <f t="shared" si="14"/>
        <v>0</v>
      </c>
      <c r="M21" s="1">
        <f>M17*0.5</f>
        <v>4963.78125</v>
      </c>
      <c r="N21" s="1">
        <f>N17*0.2</f>
        <v>2779.7175000000007</v>
      </c>
      <c r="O21" s="1"/>
      <c r="P21" s="5">
        <f t="shared" si="15"/>
        <v>7743.4987500000007</v>
      </c>
      <c r="R21" s="1"/>
      <c r="S21" s="1"/>
      <c r="T21" s="1">
        <f t="shared" si="16"/>
        <v>0</v>
      </c>
      <c r="V21" s="1"/>
      <c r="W21" s="1"/>
      <c r="X21" s="1"/>
      <c r="Y21" s="5">
        <f t="shared" si="18"/>
        <v>0</v>
      </c>
      <c r="AA21" s="1"/>
      <c r="AB21" s="1"/>
      <c r="AC21" s="1"/>
      <c r="AD21" s="5">
        <f t="shared" si="19"/>
        <v>0</v>
      </c>
      <c r="AF21" s="1">
        <f t="shared" si="20"/>
        <v>7743.4987500000007</v>
      </c>
    </row>
    <row r="22" spans="2:83" x14ac:dyDescent="0.25">
      <c r="B22" s="19" t="s">
        <v>20</v>
      </c>
      <c r="C22" s="16">
        <f>C32</f>
        <v>4520</v>
      </c>
      <c r="D22" s="16">
        <f>D32</f>
        <v>4520</v>
      </c>
      <c r="F22" s="1"/>
      <c r="G22" s="1"/>
      <c r="H22" s="1"/>
      <c r="I22" s="1">
        <f>I17</f>
        <v>4368.1275000000005</v>
      </c>
      <c r="J22" s="1"/>
      <c r="K22" s="5">
        <f t="shared" si="14"/>
        <v>4368.1275000000005</v>
      </c>
      <c r="M22" s="1"/>
      <c r="N22" s="1"/>
      <c r="O22" s="1"/>
      <c r="P22" s="5">
        <f t="shared" si="15"/>
        <v>0</v>
      </c>
      <c r="R22" s="1"/>
      <c r="S22" s="1"/>
      <c r="T22" s="1">
        <f t="shared" si="16"/>
        <v>0</v>
      </c>
      <c r="V22" s="1"/>
      <c r="W22" s="1"/>
      <c r="X22" s="1"/>
      <c r="Y22" s="5">
        <f t="shared" si="18"/>
        <v>0</v>
      </c>
      <c r="AA22" s="1"/>
      <c r="AB22" s="1"/>
      <c r="AC22" s="1"/>
      <c r="AD22" s="5">
        <f t="shared" si="19"/>
        <v>0</v>
      </c>
      <c r="AF22" s="1">
        <f t="shared" si="20"/>
        <v>4368.1275000000005</v>
      </c>
    </row>
    <row r="23" spans="2:83" x14ac:dyDescent="0.25">
      <c r="B23" s="19" t="s">
        <v>21</v>
      </c>
      <c r="C23" s="16">
        <f>C37+C38+C39</f>
        <v>4200</v>
      </c>
      <c r="D23" s="16">
        <f>D37+D38+D39</f>
        <v>4200</v>
      </c>
      <c r="F23" s="1"/>
      <c r="G23" s="1"/>
      <c r="H23" s="1"/>
      <c r="I23" s="1"/>
      <c r="J23" s="1">
        <f>J17*0.58</f>
        <v>3109.3125750000004</v>
      </c>
      <c r="K23" s="5">
        <f t="shared" si="14"/>
        <v>3109.3125750000004</v>
      </c>
      <c r="M23" s="1"/>
      <c r="N23" s="1"/>
      <c r="O23" s="1"/>
      <c r="P23" s="5">
        <f t="shared" si="15"/>
        <v>0</v>
      </c>
      <c r="R23" s="1"/>
      <c r="S23" s="1"/>
      <c r="T23" s="1">
        <f t="shared" si="16"/>
        <v>0</v>
      </c>
      <c r="V23" s="1">
        <f>(V17/V9)*0.06</f>
        <v>569.42999999999984</v>
      </c>
      <c r="W23" s="1">
        <f t="shared" ref="W23:X23" si="21">(W17/W9)*0.06</f>
        <v>427.07249999999993</v>
      </c>
      <c r="X23" s="1">
        <f t="shared" si="21"/>
        <v>427.07249999999993</v>
      </c>
      <c r="Y23" s="5">
        <f t="shared" si="18"/>
        <v>1423.5749999999998</v>
      </c>
      <c r="AA23" s="1">
        <f>AA17*0.08</f>
        <v>561.7988165680473</v>
      </c>
      <c r="AB23" s="1">
        <f>AB17*0.08</f>
        <v>276.01420118343196</v>
      </c>
      <c r="AC23" s="1">
        <f>AC17*0.05</f>
        <v>707.45062500000006</v>
      </c>
      <c r="AD23" s="5">
        <f t="shared" si="19"/>
        <v>1545.2636427514794</v>
      </c>
      <c r="AF23" s="1">
        <f t="shared" si="20"/>
        <v>6078.1512177514796</v>
      </c>
    </row>
    <row r="24" spans="2:83" x14ac:dyDescent="0.25">
      <c r="B24" s="19" t="s">
        <v>91</v>
      </c>
      <c r="C24" s="16">
        <f>C35</f>
        <v>12390.7</v>
      </c>
      <c r="D24" s="16">
        <f>D35</f>
        <v>12390.7</v>
      </c>
      <c r="F24" s="1"/>
      <c r="G24" s="1"/>
      <c r="H24" s="1"/>
      <c r="I24" s="1"/>
      <c r="J24" s="1"/>
      <c r="K24" s="5">
        <f t="shared" si="14"/>
        <v>0</v>
      </c>
      <c r="M24" s="1"/>
      <c r="N24" s="1"/>
      <c r="O24" s="1"/>
      <c r="P24" s="5">
        <f t="shared" si="15"/>
        <v>0</v>
      </c>
      <c r="R24" s="1">
        <f>R17</f>
        <v>6386.9230769230771</v>
      </c>
      <c r="S24" s="1"/>
      <c r="T24" s="1">
        <f t="shared" si="16"/>
        <v>6386.9230769230771</v>
      </c>
      <c r="V24" s="1"/>
      <c r="W24" s="1"/>
      <c r="X24" s="1"/>
      <c r="Y24" s="5">
        <f t="shared" si="18"/>
        <v>0</v>
      </c>
      <c r="AA24" s="1">
        <f>AA17-AA23</f>
        <v>6460.6863905325445</v>
      </c>
      <c r="AB24" s="1"/>
      <c r="AC24" s="1"/>
      <c r="AD24" s="5">
        <f t="shared" si="19"/>
        <v>6460.6863905325445</v>
      </c>
      <c r="AF24" s="1">
        <f t="shared" si="20"/>
        <v>12847.609467455623</v>
      </c>
    </row>
    <row r="25" spans="2:83" x14ac:dyDescent="0.25">
      <c r="B25" s="19" t="s">
        <v>126</v>
      </c>
      <c r="C25" s="16">
        <f>C36</f>
        <v>3500</v>
      </c>
      <c r="D25" s="16">
        <f>D36</f>
        <v>3500</v>
      </c>
      <c r="F25" s="1"/>
      <c r="G25" s="1"/>
      <c r="H25" s="1"/>
      <c r="I25" s="1"/>
      <c r="J25" s="1"/>
      <c r="K25" s="5">
        <f t="shared" si="14"/>
        <v>0</v>
      </c>
      <c r="M25" s="1"/>
      <c r="N25" s="1"/>
      <c r="O25" s="1"/>
      <c r="P25" s="5">
        <f t="shared" si="15"/>
        <v>0</v>
      </c>
      <c r="R25" s="1"/>
      <c r="S25" s="1">
        <f t="shared" ref="S25" si="22">S17</f>
        <v>2353.0769230769233</v>
      </c>
      <c r="T25" s="1">
        <f>R25+S25</f>
        <v>2353.0769230769233</v>
      </c>
      <c r="V25" s="1"/>
      <c r="W25" s="1"/>
      <c r="X25" s="1"/>
      <c r="Y25" s="5">
        <f t="shared" si="18"/>
        <v>0</v>
      </c>
      <c r="AA25" s="1"/>
      <c r="AB25" s="1">
        <f>AB17-AB23</f>
        <v>3174.1633136094674</v>
      </c>
      <c r="AC25" s="1"/>
      <c r="AD25" s="5">
        <f t="shared" si="19"/>
        <v>3174.1633136094674</v>
      </c>
      <c r="AF25" s="1">
        <f t="shared" si="20"/>
        <v>3174.1633136094674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</f>
        <v>21684</v>
      </c>
      <c r="D27" s="16">
        <f>D64+D68+D69+D82</f>
        <v>21684</v>
      </c>
      <c r="F27" s="16">
        <f t="shared" ref="F27:K27" si="23">F64+F68+F69+F82</f>
        <v>0</v>
      </c>
      <c r="G27" s="16">
        <f t="shared" si="23"/>
        <v>0</v>
      </c>
      <c r="H27" s="16">
        <f t="shared" si="23"/>
        <v>0</v>
      </c>
      <c r="I27" s="16">
        <f t="shared" si="23"/>
        <v>0</v>
      </c>
      <c r="J27" s="16">
        <f t="shared" si="23"/>
        <v>0</v>
      </c>
      <c r="K27" s="16">
        <f t="shared" si="23"/>
        <v>5826.75</v>
      </c>
      <c r="M27" s="16">
        <f t="shared" ref="M27:P27" si="24">M64+M68+M69+M82</f>
        <v>0</v>
      </c>
      <c r="N27" s="16">
        <f t="shared" si="24"/>
        <v>0</v>
      </c>
      <c r="O27" s="16">
        <f t="shared" si="24"/>
        <v>0</v>
      </c>
      <c r="P27" s="16">
        <f t="shared" si="24"/>
        <v>0</v>
      </c>
      <c r="S27" s="16"/>
      <c r="T27" s="16">
        <f>T64+T68+T69+T82</f>
        <v>0</v>
      </c>
      <c r="V27" s="16">
        <f t="shared" ref="V27:Y27" si="25">V64+V68+V69+V82</f>
        <v>0</v>
      </c>
      <c r="W27" s="16">
        <f t="shared" si="25"/>
        <v>0</v>
      </c>
      <c r="X27" s="16">
        <f t="shared" si="25"/>
        <v>0</v>
      </c>
      <c r="Y27" s="16">
        <f t="shared" si="25"/>
        <v>8668.6299999999992</v>
      </c>
      <c r="AA27" s="16">
        <f t="shared" ref="AA27:AD27" si="26">AA64+AA68+AA69+AA82</f>
        <v>0</v>
      </c>
      <c r="AB27" s="16">
        <f t="shared" si="26"/>
        <v>0</v>
      </c>
      <c r="AC27" s="16">
        <f t="shared" si="26"/>
        <v>0</v>
      </c>
      <c r="AD27" s="16">
        <f t="shared" si="26"/>
        <v>7188.6200000000008</v>
      </c>
      <c r="AH27" s="59" t="str">
        <f>B27</f>
        <v>Mix and Bake</v>
      </c>
      <c r="AI27" s="1">
        <f>K27</f>
        <v>5826.75</v>
      </c>
      <c r="AJ27" s="1">
        <f>P27</f>
        <v>0</v>
      </c>
      <c r="AK27" s="1">
        <f t="shared" ref="AK27:AK39" si="27">T27</f>
        <v>0</v>
      </c>
      <c r="AL27" s="1">
        <f>Y27</f>
        <v>8668.6299999999992</v>
      </c>
      <c r="AM27" s="1">
        <f>AD27</f>
        <v>7188.6200000000008</v>
      </c>
      <c r="AN27" s="1">
        <f>SUM(AI27:AM27)</f>
        <v>21684</v>
      </c>
      <c r="AP27" s="7">
        <f>AI27/0.78</f>
        <v>7470.1923076923076</v>
      </c>
      <c r="AQ27" s="7">
        <f>AJ27/0.78</f>
        <v>0</v>
      </c>
      <c r="AR27" s="7">
        <f>AK27/0.78</f>
        <v>0</v>
      </c>
      <c r="AS27" s="7">
        <f>AL27/0.78</f>
        <v>11113.628205128203</v>
      </c>
      <c r="AT27" s="7">
        <f>AM27/0.78</f>
        <v>9216.1794871794882</v>
      </c>
      <c r="AU27" s="7">
        <f>SUM(AP27:AT27)</f>
        <v>27800</v>
      </c>
      <c r="AW27" s="46">
        <v>0.3</v>
      </c>
      <c r="AX27" s="46">
        <v>0.3</v>
      </c>
      <c r="AY27" s="72"/>
      <c r="AZ27" s="46">
        <v>0.3</v>
      </c>
      <c r="BA27" s="46">
        <v>0.3</v>
      </c>
      <c r="BC27" s="7">
        <f>AW27*AP27</f>
        <v>2241.0576923076924</v>
      </c>
      <c r="BD27" s="7">
        <f>AX27*AQ27</f>
        <v>0</v>
      </c>
      <c r="BE27" s="7">
        <f>AY27*AR27</f>
        <v>0</v>
      </c>
      <c r="BF27" s="7">
        <f>AZ27*AS27</f>
        <v>3334.0884615384607</v>
      </c>
      <c r="BG27" s="7">
        <f>BA27*AT27</f>
        <v>2764.8538461538465</v>
      </c>
      <c r="BI27" s="46">
        <v>0.7</v>
      </c>
      <c r="BJ27" s="46">
        <v>0.7</v>
      </c>
      <c r="BK27" s="72"/>
      <c r="BL27" s="46">
        <v>0.7</v>
      </c>
      <c r="BM27" s="46">
        <v>0.7</v>
      </c>
      <c r="BO27" s="7">
        <f>BI27*AP27</f>
        <v>5229.1346153846152</v>
      </c>
      <c r="BP27" s="7">
        <f>BJ27*AQ27</f>
        <v>0</v>
      </c>
      <c r="BQ27" s="7">
        <f>BK27*AR27</f>
        <v>0</v>
      </c>
      <c r="BR27" s="7">
        <f>BL27*AS27</f>
        <v>7779.5397435897421</v>
      </c>
      <c r="BS27" s="7">
        <f>BM27*AT27</f>
        <v>6451.3256410256417</v>
      </c>
      <c r="BU27" s="72"/>
      <c r="BV27" s="72"/>
      <c r="BW27" s="72"/>
      <c r="BX27" s="72"/>
      <c r="BY27" s="72"/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7700</v>
      </c>
      <c r="D28" s="16">
        <f>D63</f>
        <v>7700</v>
      </c>
      <c r="F28" s="16">
        <f t="shared" ref="F28:K28" si="28">F63</f>
        <v>0</v>
      </c>
      <c r="G28" s="16">
        <f t="shared" si="28"/>
        <v>0</v>
      </c>
      <c r="H28" s="16">
        <f t="shared" si="28"/>
        <v>0</v>
      </c>
      <c r="I28" s="16">
        <f t="shared" si="28"/>
        <v>0</v>
      </c>
      <c r="J28" s="16">
        <f t="shared" si="28"/>
        <v>0</v>
      </c>
      <c r="K28" s="16">
        <f t="shared" si="28"/>
        <v>0</v>
      </c>
      <c r="M28" s="16">
        <f t="shared" ref="M28:P28" si="29">M63</f>
        <v>0</v>
      </c>
      <c r="N28" s="16">
        <f t="shared" si="29"/>
        <v>0</v>
      </c>
      <c r="O28" s="16">
        <f t="shared" si="29"/>
        <v>0</v>
      </c>
      <c r="P28" s="16">
        <f t="shared" si="29"/>
        <v>0</v>
      </c>
      <c r="S28" s="16"/>
      <c r="T28" s="16">
        <f>T63</f>
        <v>0</v>
      </c>
      <c r="V28" s="16">
        <f t="shared" ref="V28:Y28" si="30">V63</f>
        <v>0</v>
      </c>
      <c r="W28" s="16">
        <f t="shared" si="30"/>
        <v>0</v>
      </c>
      <c r="X28" s="16">
        <f t="shared" si="30"/>
        <v>0</v>
      </c>
      <c r="Y28" s="16">
        <f t="shared" si="30"/>
        <v>6545</v>
      </c>
      <c r="AA28" s="16">
        <f t="shared" ref="AA28:AD28" si="31">AA63</f>
        <v>0</v>
      </c>
      <c r="AB28" s="16">
        <f t="shared" si="31"/>
        <v>0</v>
      </c>
      <c r="AC28" s="16">
        <f t="shared" si="31"/>
        <v>0</v>
      </c>
      <c r="AD28" s="16">
        <f t="shared" si="31"/>
        <v>1155</v>
      </c>
      <c r="AH28" s="59" t="str">
        <f>B28</f>
        <v>Mix and Bake [SE]</v>
      </c>
      <c r="AI28" s="1">
        <f t="shared" ref="AI28:AI39" si="32">K28</f>
        <v>0</v>
      </c>
      <c r="AJ28" s="1">
        <f t="shared" ref="AJ28:AJ39" si="33">P28</f>
        <v>0</v>
      </c>
      <c r="AK28" s="1">
        <f t="shared" si="27"/>
        <v>0</v>
      </c>
      <c r="AL28" s="1">
        <f t="shared" ref="AL28:AL39" si="34">Y28</f>
        <v>6545</v>
      </c>
      <c r="AM28" s="1">
        <f t="shared" ref="AM28:AM39" si="35">AD28</f>
        <v>1155</v>
      </c>
      <c r="AN28" s="1">
        <f t="shared" ref="AN28:AN39" si="36">SUM(AI28:AM28)</f>
        <v>7700</v>
      </c>
      <c r="AP28" s="7">
        <f t="shared" ref="AP28:AU40" si="37">AI28/0.78</f>
        <v>0</v>
      </c>
      <c r="AQ28" s="7">
        <f t="shared" si="37"/>
        <v>0</v>
      </c>
      <c r="AR28" s="7">
        <f t="shared" si="37"/>
        <v>0</v>
      </c>
      <c r="AS28" s="7">
        <f t="shared" si="37"/>
        <v>8391.0256410256407</v>
      </c>
      <c r="AT28" s="7">
        <f t="shared" si="37"/>
        <v>1480.7692307692307</v>
      </c>
      <c r="AU28" s="7">
        <f t="shared" ref="AU28:AU39" si="38">SUM(AP28:AT28)</f>
        <v>9871.7948717948711</v>
      </c>
      <c r="AW28" s="72"/>
      <c r="AX28" s="72"/>
      <c r="AY28" s="72"/>
      <c r="AZ28" s="46">
        <v>0.35</v>
      </c>
      <c r="BA28" s="46">
        <v>0.35</v>
      </c>
      <c r="BC28" s="7">
        <f t="shared" ref="BC28:BG39" si="39">AW28*AP28</f>
        <v>0</v>
      </c>
      <c r="BD28" s="7">
        <f t="shared" si="39"/>
        <v>0</v>
      </c>
      <c r="BE28" s="7">
        <f t="shared" si="39"/>
        <v>0</v>
      </c>
      <c r="BF28" s="7">
        <f t="shared" si="39"/>
        <v>2936.8589743589741</v>
      </c>
      <c r="BG28" s="7">
        <f t="shared" si="39"/>
        <v>518.26923076923072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40">BJ28*AQ28</f>
        <v>0</v>
      </c>
      <c r="BQ28" s="7">
        <f t="shared" si="40"/>
        <v>0</v>
      </c>
      <c r="BR28" s="7">
        <f t="shared" si="40"/>
        <v>5454.166666666667</v>
      </c>
      <c r="BS28" s="7">
        <f t="shared" si="40"/>
        <v>962.5</v>
      </c>
      <c r="BU28" s="72"/>
      <c r="BV28" s="72"/>
      <c r="BW28" s="72"/>
      <c r="BX28" s="72"/>
      <c r="BY28" s="72"/>
      <c r="CA28" s="7">
        <f>BU28*AP28</f>
        <v>0</v>
      </c>
      <c r="CB28" s="7">
        <f t="shared" ref="CB28:CE39" si="41">BV28*AQ28</f>
        <v>0</v>
      </c>
      <c r="CC28" s="7">
        <f t="shared" si="41"/>
        <v>0</v>
      </c>
      <c r="CD28" s="7">
        <f t="shared" si="41"/>
        <v>0</v>
      </c>
      <c r="CE28" s="7">
        <f t="shared" si="41"/>
        <v>0</v>
      </c>
    </row>
    <row r="29" spans="2:83" x14ac:dyDescent="0.25">
      <c r="B29" s="16" t="s">
        <v>87</v>
      </c>
      <c r="C29" s="16">
        <f>C53+C92</f>
        <v>21391</v>
      </c>
      <c r="D29" s="16">
        <f>D53+D92</f>
        <v>21390.999999999996</v>
      </c>
      <c r="F29" s="16">
        <f t="shared" ref="F29:K30" si="42">F53</f>
        <v>0</v>
      </c>
      <c r="G29" s="16">
        <f t="shared" si="42"/>
        <v>0</v>
      </c>
      <c r="H29" s="16">
        <f t="shared" si="42"/>
        <v>0</v>
      </c>
      <c r="I29" s="16">
        <f t="shared" si="42"/>
        <v>0</v>
      </c>
      <c r="J29" s="16">
        <f t="shared" si="42"/>
        <v>0</v>
      </c>
      <c r="K29" s="16">
        <f>K53+K92</f>
        <v>0</v>
      </c>
      <c r="M29" s="16">
        <f t="shared" ref="M29:P30" si="43">M53</f>
        <v>0</v>
      </c>
      <c r="N29" s="16">
        <f t="shared" si="43"/>
        <v>0</v>
      </c>
      <c r="O29" s="16">
        <f t="shared" si="43"/>
        <v>0</v>
      </c>
      <c r="P29" s="16">
        <f>P53+P92</f>
        <v>20149.539999999997</v>
      </c>
      <c r="S29" s="16">
        <f>S53+S92</f>
        <v>0</v>
      </c>
      <c r="T29" s="16">
        <f>T53+T92</f>
        <v>0</v>
      </c>
      <c r="V29" s="16">
        <f t="shared" ref="V29:Y30" si="44">V53</f>
        <v>0</v>
      </c>
      <c r="W29" s="16">
        <f t="shared" si="44"/>
        <v>0</v>
      </c>
      <c r="X29" s="16">
        <f t="shared" si="44"/>
        <v>0</v>
      </c>
      <c r="Y29" s="16">
        <f>Y53+Y92</f>
        <v>1241.46</v>
      </c>
      <c r="AA29" s="16">
        <f t="shared" ref="AA29:AD30" si="45">AA53</f>
        <v>0</v>
      </c>
      <c r="AB29" s="16">
        <f t="shared" si="45"/>
        <v>0</v>
      </c>
      <c r="AC29" s="16">
        <f t="shared" si="45"/>
        <v>0</v>
      </c>
      <c r="AD29" s="16">
        <f>AD53+AD92</f>
        <v>0</v>
      </c>
      <c r="AH29" s="59" t="str">
        <f t="shared" ref="AH29:AH39" si="46">B29</f>
        <v>MGF</v>
      </c>
      <c r="AI29" s="1">
        <f t="shared" si="32"/>
        <v>0</v>
      </c>
      <c r="AJ29" s="1">
        <f t="shared" si="33"/>
        <v>20149.539999999997</v>
      </c>
      <c r="AK29" s="1">
        <f t="shared" si="27"/>
        <v>0</v>
      </c>
      <c r="AL29" s="1">
        <f t="shared" si="34"/>
        <v>1241.46</v>
      </c>
      <c r="AM29" s="1">
        <f t="shared" si="35"/>
        <v>0</v>
      </c>
      <c r="AN29" s="1">
        <f t="shared" si="36"/>
        <v>21390.999999999996</v>
      </c>
      <c r="AP29" s="7">
        <f t="shared" si="37"/>
        <v>0</v>
      </c>
      <c r="AQ29" s="7">
        <f t="shared" si="37"/>
        <v>25832.743589743586</v>
      </c>
      <c r="AR29" s="7">
        <f t="shared" si="37"/>
        <v>0</v>
      </c>
      <c r="AS29" s="7">
        <f t="shared" si="37"/>
        <v>1591.6153846153845</v>
      </c>
      <c r="AT29" s="7">
        <f t="shared" si="37"/>
        <v>0</v>
      </c>
      <c r="AU29" s="7">
        <f t="shared" si="38"/>
        <v>27424.358974358969</v>
      </c>
      <c r="AW29" s="46">
        <v>0.6</v>
      </c>
      <c r="AX29" s="46">
        <v>0.6</v>
      </c>
      <c r="AY29" s="72"/>
      <c r="AZ29" s="46">
        <v>0.6</v>
      </c>
      <c r="BA29" s="72"/>
      <c r="BC29" s="7">
        <f t="shared" si="39"/>
        <v>0</v>
      </c>
      <c r="BD29" s="7">
        <f t="shared" si="39"/>
        <v>15499.646153846152</v>
      </c>
      <c r="BE29" s="7">
        <f t="shared" si="39"/>
        <v>0</v>
      </c>
      <c r="BF29" s="7">
        <f t="shared" si="39"/>
        <v>954.96923076923065</v>
      </c>
      <c r="BG29" s="7">
        <f t="shared" si="39"/>
        <v>0</v>
      </c>
      <c r="BI29" s="46">
        <v>0.4</v>
      </c>
      <c r="BJ29" s="46">
        <v>0.4</v>
      </c>
      <c r="BK29" s="72"/>
      <c r="BL29" s="46">
        <v>0.4</v>
      </c>
      <c r="BM29" s="72"/>
      <c r="BO29" s="7">
        <f t="shared" ref="BO29:BO39" si="47">BI29*AP29</f>
        <v>0</v>
      </c>
      <c r="BP29" s="7">
        <f t="shared" si="40"/>
        <v>10333.097435897434</v>
      </c>
      <c r="BQ29" s="7">
        <f t="shared" si="40"/>
        <v>0</v>
      </c>
      <c r="BR29" s="7">
        <f t="shared" si="40"/>
        <v>636.64615384615388</v>
      </c>
      <c r="BS29" s="7">
        <f t="shared" si="40"/>
        <v>0</v>
      </c>
      <c r="BU29" s="72"/>
      <c r="BV29" s="72"/>
      <c r="BW29" s="72"/>
      <c r="BX29" s="72"/>
      <c r="BY29" s="72"/>
      <c r="CA29" s="7">
        <f t="shared" ref="CA29:CA39" si="48">BU29*AP29</f>
        <v>0</v>
      </c>
      <c r="CB29" s="7">
        <f t="shared" si="41"/>
        <v>0</v>
      </c>
      <c r="CC29" s="7">
        <f t="shared" si="41"/>
        <v>0</v>
      </c>
      <c r="CD29" s="7">
        <f t="shared" si="41"/>
        <v>0</v>
      </c>
      <c r="CE29" s="7">
        <f t="shared" si="41"/>
        <v>0</v>
      </c>
    </row>
    <row r="30" spans="2:83" x14ac:dyDescent="0.25">
      <c r="B30" s="16" t="s">
        <v>88</v>
      </c>
      <c r="C30" s="16">
        <f>C54</f>
        <v>5000</v>
      </c>
      <c r="D30" s="16">
        <f>D54</f>
        <v>5000</v>
      </c>
      <c r="F30" s="16">
        <f t="shared" si="42"/>
        <v>0</v>
      </c>
      <c r="G30" s="16">
        <f t="shared" si="42"/>
        <v>0</v>
      </c>
      <c r="H30" s="16">
        <f t="shared" si="42"/>
        <v>0</v>
      </c>
      <c r="I30" s="16">
        <f t="shared" si="42"/>
        <v>0</v>
      </c>
      <c r="J30" s="16">
        <f t="shared" si="42"/>
        <v>0</v>
      </c>
      <c r="K30" s="16">
        <f t="shared" si="42"/>
        <v>0</v>
      </c>
      <c r="M30" s="16">
        <f t="shared" si="43"/>
        <v>0</v>
      </c>
      <c r="N30" s="16">
        <f t="shared" si="43"/>
        <v>0</v>
      </c>
      <c r="O30" s="16">
        <f t="shared" si="43"/>
        <v>0</v>
      </c>
      <c r="P30" s="16">
        <f t="shared" si="43"/>
        <v>4000</v>
      </c>
      <c r="S30" s="16"/>
      <c r="T30" s="16">
        <f>T54</f>
        <v>0</v>
      </c>
      <c r="V30" s="16">
        <f t="shared" si="44"/>
        <v>0</v>
      </c>
      <c r="W30" s="16">
        <f t="shared" si="44"/>
        <v>0</v>
      </c>
      <c r="X30" s="16">
        <f t="shared" si="44"/>
        <v>0</v>
      </c>
      <c r="Y30" s="16">
        <f t="shared" si="44"/>
        <v>0</v>
      </c>
      <c r="AA30" s="16">
        <f t="shared" si="45"/>
        <v>0</v>
      </c>
      <c r="AB30" s="16">
        <f t="shared" si="45"/>
        <v>0</v>
      </c>
      <c r="AC30" s="16">
        <f t="shared" si="45"/>
        <v>0</v>
      </c>
      <c r="AD30" s="16">
        <f t="shared" si="45"/>
        <v>1000</v>
      </c>
      <c r="AH30" s="59" t="str">
        <f t="shared" si="46"/>
        <v>Bakewell</v>
      </c>
      <c r="AI30" s="1">
        <f t="shared" si="32"/>
        <v>0</v>
      </c>
      <c r="AJ30" s="1">
        <f t="shared" si="33"/>
        <v>4000</v>
      </c>
      <c r="AK30" s="1">
        <f t="shared" si="27"/>
        <v>0</v>
      </c>
      <c r="AL30" s="1">
        <f t="shared" si="34"/>
        <v>0</v>
      </c>
      <c r="AM30" s="1">
        <f t="shared" si="35"/>
        <v>1000</v>
      </c>
      <c r="AN30" s="1">
        <f t="shared" si="36"/>
        <v>5000</v>
      </c>
      <c r="AP30" s="7">
        <f t="shared" si="37"/>
        <v>0</v>
      </c>
      <c r="AQ30" s="7">
        <f t="shared" si="37"/>
        <v>5128.2051282051279</v>
      </c>
      <c r="AR30" s="7">
        <f t="shared" si="37"/>
        <v>0</v>
      </c>
      <c r="AS30" s="7">
        <f t="shared" si="37"/>
        <v>0</v>
      </c>
      <c r="AT30" s="7">
        <f t="shared" si="37"/>
        <v>1282.051282051282</v>
      </c>
      <c r="AU30" s="7">
        <f t="shared" si="38"/>
        <v>6410.2564102564102</v>
      </c>
      <c r="AW30" s="46">
        <v>0.1</v>
      </c>
      <c r="AX30" s="46">
        <v>0.1</v>
      </c>
      <c r="AY30" s="72"/>
      <c r="AZ30" s="46">
        <v>0.15</v>
      </c>
      <c r="BA30" s="46">
        <v>0.15</v>
      </c>
      <c r="BC30" s="7">
        <f t="shared" si="39"/>
        <v>0</v>
      </c>
      <c r="BD30" s="7">
        <f t="shared" si="39"/>
        <v>512.82051282051282</v>
      </c>
      <c r="BE30" s="7">
        <f t="shared" si="39"/>
        <v>0</v>
      </c>
      <c r="BF30" s="7">
        <f t="shared" si="39"/>
        <v>0</v>
      </c>
      <c r="BG30" s="7">
        <f t="shared" si="39"/>
        <v>192.30769230769229</v>
      </c>
      <c r="BI30" s="46">
        <v>0.9</v>
      </c>
      <c r="BJ30" s="46">
        <v>0.9</v>
      </c>
      <c r="BK30" s="72"/>
      <c r="BL30" s="46">
        <v>0.85</v>
      </c>
      <c r="BM30" s="46">
        <v>0.85</v>
      </c>
      <c r="BO30" s="7">
        <f t="shared" si="47"/>
        <v>0</v>
      </c>
      <c r="BP30" s="7">
        <f t="shared" si="40"/>
        <v>4615.3846153846152</v>
      </c>
      <c r="BQ30" s="7">
        <f t="shared" si="40"/>
        <v>0</v>
      </c>
      <c r="BR30" s="7">
        <f t="shared" si="40"/>
        <v>0</v>
      </c>
      <c r="BS30" s="7">
        <f t="shared" si="40"/>
        <v>1089.7435897435896</v>
      </c>
      <c r="BU30" s="72"/>
      <c r="BV30" s="72"/>
      <c r="BW30" s="72"/>
      <c r="BX30" s="72"/>
      <c r="BY30" s="72"/>
      <c r="CA30" s="7">
        <f t="shared" si="48"/>
        <v>0</v>
      </c>
      <c r="CB30" s="7">
        <f t="shared" si="41"/>
        <v>0</v>
      </c>
      <c r="CC30" s="7">
        <f t="shared" si="41"/>
        <v>0</v>
      </c>
      <c r="CD30" s="7">
        <f t="shared" si="41"/>
        <v>0</v>
      </c>
      <c r="CE30" s="7">
        <f t="shared" si="41"/>
        <v>0</v>
      </c>
    </row>
    <row r="31" spans="2:83" x14ac:dyDescent="0.25">
      <c r="B31" s="16" t="s">
        <v>116</v>
      </c>
      <c r="C31" s="16">
        <f>C65</f>
        <v>15056</v>
      </c>
      <c r="D31" s="16">
        <f>D65</f>
        <v>15056.000000000002</v>
      </c>
      <c r="F31" s="16">
        <f t="shared" ref="F31:K31" si="49">F65</f>
        <v>0</v>
      </c>
      <c r="G31" s="16">
        <f t="shared" si="49"/>
        <v>0</v>
      </c>
      <c r="H31" s="16">
        <f t="shared" si="49"/>
        <v>0</v>
      </c>
      <c r="I31" s="16">
        <f t="shared" si="49"/>
        <v>0</v>
      </c>
      <c r="J31" s="16">
        <f t="shared" si="49"/>
        <v>0</v>
      </c>
      <c r="K31" s="16">
        <f t="shared" si="49"/>
        <v>12044.800000000001</v>
      </c>
      <c r="M31" s="16">
        <f t="shared" ref="M31:P31" si="50">M65</f>
        <v>0</v>
      </c>
      <c r="N31" s="16">
        <f t="shared" si="50"/>
        <v>0</v>
      </c>
      <c r="O31" s="16">
        <f t="shared" si="50"/>
        <v>0</v>
      </c>
      <c r="P31" s="16">
        <f t="shared" si="50"/>
        <v>0</v>
      </c>
      <c r="S31" s="16"/>
      <c r="T31" s="16">
        <f>T65</f>
        <v>0</v>
      </c>
      <c r="V31" s="16">
        <f t="shared" ref="V31:Y31" si="51">V65</f>
        <v>0</v>
      </c>
      <c r="W31" s="16">
        <f t="shared" si="51"/>
        <v>0</v>
      </c>
      <c r="X31" s="16">
        <f t="shared" si="51"/>
        <v>0</v>
      </c>
      <c r="Y31" s="16">
        <f t="shared" si="51"/>
        <v>0</v>
      </c>
      <c r="AA31" s="16">
        <f t="shared" ref="AA31:AD31" si="52">AA65</f>
        <v>0</v>
      </c>
      <c r="AB31" s="16">
        <f t="shared" si="52"/>
        <v>0</v>
      </c>
      <c r="AC31" s="16">
        <f t="shared" si="52"/>
        <v>0</v>
      </c>
      <c r="AD31" s="16">
        <f t="shared" si="52"/>
        <v>3011.2000000000003</v>
      </c>
      <c r="AH31" s="59" t="str">
        <f t="shared" si="46"/>
        <v>Bua Premium</v>
      </c>
      <c r="AI31" s="1">
        <f t="shared" si="32"/>
        <v>12044.800000000001</v>
      </c>
      <c r="AJ31" s="1">
        <f t="shared" si="33"/>
        <v>0</v>
      </c>
      <c r="AK31" s="1">
        <f t="shared" si="27"/>
        <v>0</v>
      </c>
      <c r="AL31" s="1">
        <f t="shared" si="34"/>
        <v>0</v>
      </c>
      <c r="AM31" s="1">
        <f t="shared" si="35"/>
        <v>3011.2000000000003</v>
      </c>
      <c r="AN31" s="1">
        <f t="shared" si="36"/>
        <v>15056.000000000002</v>
      </c>
      <c r="AP31" s="7">
        <f t="shared" si="37"/>
        <v>15442.051282051283</v>
      </c>
      <c r="AQ31" s="7">
        <f t="shared" si="37"/>
        <v>0</v>
      </c>
      <c r="AR31" s="7">
        <f t="shared" si="37"/>
        <v>0</v>
      </c>
      <c r="AS31" s="7">
        <f t="shared" si="37"/>
        <v>0</v>
      </c>
      <c r="AT31" s="7">
        <f t="shared" si="37"/>
        <v>3860.5128205128208</v>
      </c>
      <c r="AU31" s="7">
        <f t="shared" si="38"/>
        <v>19302.564102564105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39"/>
        <v>0</v>
      </c>
      <c r="BD31" s="7">
        <f t="shared" si="39"/>
        <v>0</v>
      </c>
      <c r="BE31" s="7">
        <f t="shared" si="39"/>
        <v>0</v>
      </c>
      <c r="BF31" s="7">
        <f t="shared" si="39"/>
        <v>0</v>
      </c>
      <c r="BG31" s="7">
        <f t="shared" si="39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47"/>
        <v>15442.051282051283</v>
      </c>
      <c r="BP31" s="7">
        <f t="shared" si="40"/>
        <v>0</v>
      </c>
      <c r="BQ31" s="7">
        <f t="shared" si="40"/>
        <v>0</v>
      </c>
      <c r="BR31" s="7">
        <f t="shared" si="40"/>
        <v>0</v>
      </c>
      <c r="BS31" s="7">
        <f t="shared" si="40"/>
        <v>3860.5128205128208</v>
      </c>
      <c r="BU31" s="72"/>
      <c r="BV31" s="72"/>
      <c r="BW31" s="72"/>
      <c r="BX31" s="72"/>
      <c r="BY31" s="72"/>
      <c r="CA31" s="7">
        <f t="shared" si="48"/>
        <v>0</v>
      </c>
      <c r="CB31" s="7">
        <f t="shared" si="41"/>
        <v>0</v>
      </c>
      <c r="CC31" s="7">
        <f t="shared" si="41"/>
        <v>0</v>
      </c>
      <c r="CD31" s="7">
        <f t="shared" si="41"/>
        <v>0</v>
      </c>
      <c r="CE31" s="7">
        <f t="shared" si="41"/>
        <v>0</v>
      </c>
    </row>
    <row r="32" spans="2:83" x14ac:dyDescent="0.25">
      <c r="B32" s="16" t="s">
        <v>70</v>
      </c>
      <c r="C32" s="16">
        <f>C46+C67</f>
        <v>4520</v>
      </c>
      <c r="D32" s="16">
        <f>D46+D67</f>
        <v>4520</v>
      </c>
      <c r="F32" s="16">
        <f t="shared" ref="F32:K32" si="53">F46+F67</f>
        <v>0</v>
      </c>
      <c r="G32" s="16">
        <f t="shared" si="53"/>
        <v>0</v>
      </c>
      <c r="H32" s="16">
        <f t="shared" si="53"/>
        <v>0</v>
      </c>
      <c r="I32" s="16">
        <f t="shared" si="53"/>
        <v>0</v>
      </c>
      <c r="J32" s="16">
        <f t="shared" si="53"/>
        <v>0</v>
      </c>
      <c r="K32" s="16">
        <f t="shared" si="53"/>
        <v>3720</v>
      </c>
      <c r="M32" s="16">
        <f t="shared" ref="M32:P32" si="54">M46+M67</f>
        <v>0</v>
      </c>
      <c r="N32" s="16">
        <f t="shared" si="54"/>
        <v>0</v>
      </c>
      <c r="O32" s="16">
        <f t="shared" si="54"/>
        <v>0</v>
      </c>
      <c r="P32" s="16">
        <f t="shared" si="54"/>
        <v>800</v>
      </c>
      <c r="S32" s="16"/>
      <c r="T32" s="16">
        <f>T46+T67</f>
        <v>0</v>
      </c>
      <c r="V32" s="16">
        <f t="shared" ref="V32:Y32" si="55">V46+V67</f>
        <v>0</v>
      </c>
      <c r="W32" s="16">
        <f t="shared" si="55"/>
        <v>0</v>
      </c>
      <c r="X32" s="16">
        <f t="shared" si="55"/>
        <v>0</v>
      </c>
      <c r="Y32" s="16">
        <f t="shared" si="55"/>
        <v>0</v>
      </c>
      <c r="AA32" s="16">
        <f t="shared" ref="AA32:AD32" si="56">AA46+AA67</f>
        <v>0</v>
      </c>
      <c r="AB32" s="16">
        <f t="shared" si="56"/>
        <v>0</v>
      </c>
      <c r="AC32" s="16">
        <f t="shared" si="56"/>
        <v>0</v>
      </c>
      <c r="AD32" s="16">
        <f t="shared" si="56"/>
        <v>0</v>
      </c>
      <c r="AH32" s="59" t="str">
        <f t="shared" si="46"/>
        <v>Biscuit Flour</v>
      </c>
      <c r="AI32" s="1">
        <f t="shared" si="32"/>
        <v>3720</v>
      </c>
      <c r="AJ32" s="1">
        <f t="shared" si="33"/>
        <v>800</v>
      </c>
      <c r="AK32" s="1">
        <f t="shared" si="27"/>
        <v>0</v>
      </c>
      <c r="AL32" s="1">
        <f t="shared" si="34"/>
        <v>0</v>
      </c>
      <c r="AM32" s="1">
        <f t="shared" si="35"/>
        <v>0</v>
      </c>
      <c r="AN32" s="1">
        <f t="shared" si="36"/>
        <v>4520</v>
      </c>
      <c r="AP32" s="7">
        <f t="shared" si="37"/>
        <v>4769.2307692307695</v>
      </c>
      <c r="AQ32" s="7">
        <f t="shared" si="37"/>
        <v>1025.6410256410256</v>
      </c>
      <c r="AR32" s="7">
        <f t="shared" si="37"/>
        <v>0</v>
      </c>
      <c r="AS32" s="7">
        <f t="shared" si="37"/>
        <v>0</v>
      </c>
      <c r="AT32" s="7">
        <f t="shared" si="37"/>
        <v>0</v>
      </c>
      <c r="AU32" s="7">
        <f t="shared" si="38"/>
        <v>5794.8717948717949</v>
      </c>
      <c r="AW32" s="46">
        <v>0</v>
      </c>
      <c r="AX32" s="72"/>
      <c r="AY32" s="72"/>
      <c r="AZ32" s="72"/>
      <c r="BA32" s="72"/>
      <c r="BC32" s="7">
        <f t="shared" si="39"/>
        <v>0</v>
      </c>
      <c r="BD32" s="7">
        <f t="shared" si="39"/>
        <v>0</v>
      </c>
      <c r="BE32" s="7">
        <f t="shared" si="39"/>
        <v>0</v>
      </c>
      <c r="BF32" s="7">
        <f t="shared" si="39"/>
        <v>0</v>
      </c>
      <c r="BG32" s="7">
        <f t="shared" si="39"/>
        <v>0</v>
      </c>
      <c r="BI32" s="46">
        <v>0.1</v>
      </c>
      <c r="BJ32" s="46">
        <v>0.1</v>
      </c>
      <c r="BK32" s="72"/>
      <c r="BL32" s="72"/>
      <c r="BM32" s="72"/>
      <c r="BO32" s="7">
        <f t="shared" si="47"/>
        <v>476.92307692307696</v>
      </c>
      <c r="BP32" s="7">
        <f t="shared" si="40"/>
        <v>102.56410256410257</v>
      </c>
      <c r="BQ32" s="7">
        <f t="shared" si="40"/>
        <v>0</v>
      </c>
      <c r="BR32" s="7">
        <f t="shared" si="40"/>
        <v>0</v>
      </c>
      <c r="BS32" s="7">
        <f t="shared" si="40"/>
        <v>0</v>
      </c>
      <c r="BU32" s="46">
        <v>0.9</v>
      </c>
      <c r="BV32" s="46">
        <v>0.9</v>
      </c>
      <c r="BW32" s="72"/>
      <c r="BX32" s="72"/>
      <c r="BY32" s="72"/>
      <c r="CA32" s="7">
        <f t="shared" si="48"/>
        <v>4292.3076923076924</v>
      </c>
      <c r="CB32" s="7">
        <f t="shared" si="41"/>
        <v>923.07692307692309</v>
      </c>
      <c r="CC32" s="7">
        <f t="shared" si="41"/>
        <v>0</v>
      </c>
      <c r="CD32" s="7">
        <f t="shared" si="41"/>
        <v>0</v>
      </c>
      <c r="CE32" s="7">
        <f t="shared" si="41"/>
        <v>0</v>
      </c>
    </row>
    <row r="33" spans="1:83" x14ac:dyDescent="0.25">
      <c r="B33" s="16" t="s">
        <v>117</v>
      </c>
      <c r="C33" s="16">
        <f>C47+C70</f>
        <v>2500</v>
      </c>
      <c r="D33" s="16">
        <f>D47+D70</f>
        <v>2500</v>
      </c>
      <c r="F33" s="16">
        <f t="shared" ref="F33:K33" si="57">F47+F70</f>
        <v>0</v>
      </c>
      <c r="G33" s="16">
        <f t="shared" si="57"/>
        <v>0</v>
      </c>
      <c r="H33" s="16">
        <f t="shared" si="57"/>
        <v>0</v>
      </c>
      <c r="I33" s="16">
        <f t="shared" si="57"/>
        <v>0</v>
      </c>
      <c r="J33" s="16">
        <f t="shared" si="57"/>
        <v>0</v>
      </c>
      <c r="K33" s="16">
        <f t="shared" si="57"/>
        <v>0</v>
      </c>
      <c r="M33" s="16">
        <f t="shared" ref="M33:P33" si="58">M47+M70</f>
        <v>0</v>
      </c>
      <c r="N33" s="16">
        <f t="shared" si="58"/>
        <v>0</v>
      </c>
      <c r="O33" s="16">
        <f t="shared" si="58"/>
        <v>0</v>
      </c>
      <c r="P33" s="16">
        <f t="shared" si="58"/>
        <v>2000</v>
      </c>
      <c r="S33" s="16"/>
      <c r="T33" s="16">
        <f>T47+T70</f>
        <v>0</v>
      </c>
      <c r="V33" s="16">
        <f t="shared" ref="V33:Y33" si="59">V47+V70</f>
        <v>0</v>
      </c>
      <c r="W33" s="16">
        <f t="shared" si="59"/>
        <v>0</v>
      </c>
      <c r="X33" s="16">
        <f t="shared" si="59"/>
        <v>0</v>
      </c>
      <c r="Y33" s="16">
        <f t="shared" si="59"/>
        <v>0</v>
      </c>
      <c r="AA33" s="16">
        <f t="shared" ref="AA33:AD33" si="60">AA47+AA70</f>
        <v>0</v>
      </c>
      <c r="AB33" s="16">
        <f t="shared" si="60"/>
        <v>0</v>
      </c>
      <c r="AC33" s="16">
        <f t="shared" si="60"/>
        <v>0</v>
      </c>
      <c r="AD33" s="16">
        <f t="shared" si="60"/>
        <v>500</v>
      </c>
      <c r="AH33" s="59" t="str">
        <f t="shared" si="46"/>
        <v>Noodles Flour</v>
      </c>
      <c r="AI33" s="1">
        <f t="shared" si="32"/>
        <v>0</v>
      </c>
      <c r="AJ33" s="1">
        <f t="shared" si="33"/>
        <v>2000</v>
      </c>
      <c r="AK33" s="1">
        <f t="shared" si="27"/>
        <v>0</v>
      </c>
      <c r="AL33" s="1">
        <f t="shared" si="34"/>
        <v>0</v>
      </c>
      <c r="AM33" s="1">
        <f t="shared" si="35"/>
        <v>500</v>
      </c>
      <c r="AN33" s="1">
        <f t="shared" si="36"/>
        <v>2500</v>
      </c>
      <c r="AP33" s="7">
        <f t="shared" si="37"/>
        <v>0</v>
      </c>
      <c r="AQ33" s="7">
        <f t="shared" si="37"/>
        <v>2564.102564102564</v>
      </c>
      <c r="AR33" s="7">
        <f t="shared" si="37"/>
        <v>0</v>
      </c>
      <c r="AS33" s="7">
        <f t="shared" si="37"/>
        <v>0</v>
      </c>
      <c r="AT33" s="7">
        <f t="shared" si="37"/>
        <v>641.02564102564099</v>
      </c>
      <c r="AU33" s="7">
        <f t="shared" si="38"/>
        <v>3205.1282051282051</v>
      </c>
      <c r="AW33" s="46">
        <v>0.25</v>
      </c>
      <c r="AX33" s="46">
        <v>0.25</v>
      </c>
      <c r="AY33" s="72"/>
      <c r="AZ33" s="72"/>
      <c r="BA33" s="46">
        <v>0.2</v>
      </c>
      <c r="BC33" s="7">
        <f t="shared" si="39"/>
        <v>0</v>
      </c>
      <c r="BD33" s="7">
        <f t="shared" si="39"/>
        <v>641.02564102564099</v>
      </c>
      <c r="BE33" s="7">
        <f t="shared" si="39"/>
        <v>0</v>
      </c>
      <c r="BF33" s="7">
        <f t="shared" si="39"/>
        <v>0</v>
      </c>
      <c r="BG33" s="7">
        <f t="shared" si="39"/>
        <v>128.2051282051282</v>
      </c>
      <c r="BI33" s="46">
        <v>0.75</v>
      </c>
      <c r="BJ33" s="46">
        <v>0.75</v>
      </c>
      <c r="BK33" s="72"/>
      <c r="BL33" s="72"/>
      <c r="BM33" s="46">
        <v>0.8</v>
      </c>
      <c r="BO33" s="7">
        <f t="shared" si="47"/>
        <v>0</v>
      </c>
      <c r="BP33" s="7">
        <f t="shared" si="40"/>
        <v>1923.0769230769229</v>
      </c>
      <c r="BQ33" s="7">
        <f t="shared" si="40"/>
        <v>0</v>
      </c>
      <c r="BR33" s="7">
        <f t="shared" si="40"/>
        <v>0</v>
      </c>
      <c r="BS33" s="7">
        <f t="shared" si="40"/>
        <v>512.82051282051282</v>
      </c>
      <c r="BU33" s="72"/>
      <c r="BV33" s="72"/>
      <c r="BW33" s="72"/>
      <c r="BX33" s="72"/>
      <c r="BY33" s="72"/>
      <c r="CA33" s="7">
        <f t="shared" si="48"/>
        <v>0</v>
      </c>
      <c r="CB33" s="7">
        <f t="shared" si="41"/>
        <v>0</v>
      </c>
      <c r="CC33" s="7">
        <f t="shared" si="41"/>
        <v>0</v>
      </c>
      <c r="CD33" s="7">
        <f t="shared" si="41"/>
        <v>0</v>
      </c>
      <c r="CE33" s="7">
        <f t="shared" si="41"/>
        <v>0</v>
      </c>
    </row>
    <row r="34" spans="1:83" x14ac:dyDescent="0.25">
      <c r="B34" s="16" t="s">
        <v>118</v>
      </c>
      <c r="C34" s="16">
        <f>C50</f>
        <v>300</v>
      </c>
      <c r="D34" s="16">
        <f>D50</f>
        <v>300</v>
      </c>
      <c r="F34" s="16">
        <f t="shared" ref="F34:K34" si="61">F50</f>
        <v>0</v>
      </c>
      <c r="G34" s="16">
        <f t="shared" si="61"/>
        <v>0</v>
      </c>
      <c r="H34" s="16">
        <f t="shared" si="61"/>
        <v>0</v>
      </c>
      <c r="I34" s="16">
        <f t="shared" si="61"/>
        <v>0</v>
      </c>
      <c r="J34" s="16">
        <f t="shared" si="61"/>
        <v>0</v>
      </c>
      <c r="K34" s="16">
        <f t="shared" si="61"/>
        <v>0</v>
      </c>
      <c r="M34" s="16">
        <f t="shared" ref="M34:P34" si="62">M50</f>
        <v>0</v>
      </c>
      <c r="N34" s="16">
        <f t="shared" si="62"/>
        <v>0</v>
      </c>
      <c r="O34" s="16">
        <f t="shared" si="62"/>
        <v>0</v>
      </c>
      <c r="P34" s="16">
        <f t="shared" si="62"/>
        <v>0</v>
      </c>
      <c r="S34" s="16"/>
      <c r="T34" s="16">
        <f>T50</f>
        <v>0</v>
      </c>
      <c r="V34" s="16">
        <f t="shared" ref="V34:Y34" si="63">V50</f>
        <v>0</v>
      </c>
      <c r="W34" s="16">
        <f t="shared" si="63"/>
        <v>0</v>
      </c>
      <c r="X34" s="16">
        <f t="shared" si="63"/>
        <v>0</v>
      </c>
      <c r="Y34" s="16">
        <f t="shared" si="63"/>
        <v>300</v>
      </c>
      <c r="AA34" s="16">
        <f t="shared" ref="AA34:AD34" si="64">AA50</f>
        <v>0</v>
      </c>
      <c r="AB34" s="16">
        <f t="shared" si="64"/>
        <v>0</v>
      </c>
      <c r="AC34" s="16">
        <f t="shared" si="64"/>
        <v>0</v>
      </c>
      <c r="AD34" s="16">
        <f t="shared" si="64"/>
        <v>0</v>
      </c>
      <c r="AH34" s="59" t="str">
        <f t="shared" si="46"/>
        <v>Mix and Bake Madiga</v>
      </c>
      <c r="AI34" s="1">
        <f t="shared" si="32"/>
        <v>0</v>
      </c>
      <c r="AJ34" s="1">
        <f t="shared" si="33"/>
        <v>0</v>
      </c>
      <c r="AK34" s="1">
        <f t="shared" si="27"/>
        <v>0</v>
      </c>
      <c r="AL34" s="1">
        <f t="shared" si="34"/>
        <v>300</v>
      </c>
      <c r="AM34" s="1">
        <f t="shared" si="35"/>
        <v>0</v>
      </c>
      <c r="AN34" s="1">
        <f t="shared" si="36"/>
        <v>300</v>
      </c>
      <c r="AP34" s="7">
        <f t="shared" si="37"/>
        <v>0</v>
      </c>
      <c r="AQ34" s="7">
        <f t="shared" si="37"/>
        <v>0</v>
      </c>
      <c r="AR34" s="7">
        <f t="shared" si="37"/>
        <v>0</v>
      </c>
      <c r="AS34" s="7">
        <f t="shared" si="37"/>
        <v>384.61538461538458</v>
      </c>
      <c r="AT34" s="7">
        <f t="shared" si="37"/>
        <v>0</v>
      </c>
      <c r="AU34" s="7">
        <f t="shared" si="38"/>
        <v>384.61538461538458</v>
      </c>
      <c r="AW34" s="72"/>
      <c r="AX34" s="72"/>
      <c r="AY34" s="72"/>
      <c r="AZ34" s="46">
        <v>0.35</v>
      </c>
      <c r="BA34" s="72"/>
      <c r="BC34" s="7">
        <f t="shared" si="39"/>
        <v>0</v>
      </c>
      <c r="BD34" s="7">
        <f t="shared" si="39"/>
        <v>0</v>
      </c>
      <c r="BE34" s="7">
        <f t="shared" si="39"/>
        <v>0</v>
      </c>
      <c r="BF34" s="7">
        <f t="shared" si="39"/>
        <v>134.61538461538458</v>
      </c>
      <c r="BG34" s="7">
        <f t="shared" si="39"/>
        <v>0</v>
      </c>
      <c r="BI34" s="72"/>
      <c r="BJ34" s="72"/>
      <c r="BK34" s="72"/>
      <c r="BL34" s="46">
        <v>0.65</v>
      </c>
      <c r="BM34" s="72"/>
      <c r="BO34" s="7">
        <f t="shared" si="47"/>
        <v>0</v>
      </c>
      <c r="BP34" s="7">
        <f t="shared" si="40"/>
        <v>0</v>
      </c>
      <c r="BQ34" s="7">
        <f t="shared" si="40"/>
        <v>0</v>
      </c>
      <c r="BR34" s="7">
        <f t="shared" si="40"/>
        <v>250</v>
      </c>
      <c r="BS34" s="7">
        <f t="shared" si="40"/>
        <v>0</v>
      </c>
      <c r="BU34" s="72"/>
      <c r="BV34" s="72"/>
      <c r="BW34" s="72"/>
      <c r="BX34" s="72"/>
      <c r="BY34" s="72"/>
      <c r="CA34" s="7">
        <f t="shared" si="48"/>
        <v>0</v>
      </c>
      <c r="CB34" s="7">
        <f t="shared" si="41"/>
        <v>0</v>
      </c>
      <c r="CC34" s="7">
        <f t="shared" si="41"/>
        <v>0</v>
      </c>
      <c r="CD34" s="7">
        <f t="shared" si="41"/>
        <v>0</v>
      </c>
      <c r="CE34" s="7">
        <f t="shared" si="41"/>
        <v>0</v>
      </c>
    </row>
    <row r="35" spans="1:83" x14ac:dyDescent="0.25">
      <c r="B35" s="16" t="s">
        <v>91</v>
      </c>
      <c r="C35" s="16">
        <f>C48+C66+C75+C76</f>
        <v>12390.7</v>
      </c>
      <c r="D35" s="16">
        <f>D48+D66+D75+D76</f>
        <v>12390.7</v>
      </c>
      <c r="F35" s="16">
        <f t="shared" ref="F35:K35" si="65">F48+F66+F75+F76</f>
        <v>0</v>
      </c>
      <c r="G35" s="16">
        <f t="shared" si="65"/>
        <v>0</v>
      </c>
      <c r="H35" s="16">
        <f t="shared" si="65"/>
        <v>0</v>
      </c>
      <c r="I35" s="16">
        <f t="shared" si="65"/>
        <v>0</v>
      </c>
      <c r="J35" s="16">
        <f t="shared" si="65"/>
        <v>0</v>
      </c>
      <c r="K35" s="16">
        <f t="shared" si="65"/>
        <v>0</v>
      </c>
      <c r="M35" s="16">
        <f t="shared" ref="M35:P35" si="66">M48+M66+M75+M76</f>
        <v>0</v>
      </c>
      <c r="N35" s="16">
        <f t="shared" si="66"/>
        <v>0</v>
      </c>
      <c r="O35" s="16">
        <f t="shared" si="66"/>
        <v>0</v>
      </c>
      <c r="P35" s="16">
        <f t="shared" si="66"/>
        <v>0</v>
      </c>
      <c r="S35" s="16"/>
      <c r="T35" s="16">
        <f>T48+T66+T75+T76</f>
        <v>6071.4430000000002</v>
      </c>
      <c r="V35" s="16">
        <f t="shared" ref="V35:Y35" si="67">V48+V66+V75+V76</f>
        <v>0</v>
      </c>
      <c r="W35" s="16">
        <f t="shared" si="67"/>
        <v>0</v>
      </c>
      <c r="X35" s="16">
        <f t="shared" si="67"/>
        <v>0</v>
      </c>
      <c r="Y35" s="16">
        <f t="shared" si="67"/>
        <v>0</v>
      </c>
      <c r="AA35" s="16">
        <f t="shared" ref="AA35:AD35" si="68">AA48+AA66+AA75+AA76</f>
        <v>0</v>
      </c>
      <c r="AB35" s="16">
        <f t="shared" si="68"/>
        <v>0</v>
      </c>
      <c r="AC35" s="16">
        <f t="shared" si="68"/>
        <v>0</v>
      </c>
      <c r="AD35" s="16">
        <f t="shared" si="68"/>
        <v>6319.2569999999996</v>
      </c>
      <c r="AH35" s="59" t="str">
        <f t="shared" si="46"/>
        <v>Spaghetti</v>
      </c>
      <c r="AI35" s="1">
        <f t="shared" si="32"/>
        <v>0</v>
      </c>
      <c r="AJ35" s="1">
        <f t="shared" si="33"/>
        <v>0</v>
      </c>
      <c r="AK35" s="1">
        <f t="shared" si="27"/>
        <v>6071.4430000000002</v>
      </c>
      <c r="AL35" s="1">
        <f t="shared" si="34"/>
        <v>0</v>
      </c>
      <c r="AM35" s="1">
        <f t="shared" si="35"/>
        <v>6319.2569999999996</v>
      </c>
      <c r="AN35" s="1">
        <f t="shared" si="36"/>
        <v>12390.7</v>
      </c>
      <c r="AP35" s="7">
        <f t="shared" si="37"/>
        <v>0</v>
      </c>
      <c r="AQ35" s="7">
        <f t="shared" si="37"/>
        <v>0</v>
      </c>
      <c r="AR35" s="7">
        <f t="shared" si="37"/>
        <v>7783.9012820512817</v>
      </c>
      <c r="AS35" s="7">
        <f t="shared" si="37"/>
        <v>0</v>
      </c>
      <c r="AT35" s="7">
        <f t="shared" si="37"/>
        <v>8101.6115384615377</v>
      </c>
      <c r="AU35" s="7">
        <f t="shared" si="38"/>
        <v>15885.51282051282</v>
      </c>
      <c r="AW35" s="72"/>
      <c r="AX35" s="72"/>
      <c r="AY35" s="46">
        <v>0</v>
      </c>
      <c r="AZ35" s="72"/>
      <c r="BA35" s="46">
        <v>0</v>
      </c>
      <c r="BC35" s="7">
        <f t="shared" si="39"/>
        <v>0</v>
      </c>
      <c r="BD35" s="7">
        <f t="shared" si="39"/>
        <v>0</v>
      </c>
      <c r="BE35" s="7">
        <f t="shared" si="39"/>
        <v>0</v>
      </c>
      <c r="BF35" s="7">
        <f t="shared" si="39"/>
        <v>0</v>
      </c>
      <c r="BG35" s="7">
        <f t="shared" si="39"/>
        <v>0</v>
      </c>
      <c r="BI35" s="72"/>
      <c r="BJ35" s="72"/>
      <c r="BK35" s="46">
        <v>1</v>
      </c>
      <c r="BL35" s="72"/>
      <c r="BM35" s="46">
        <v>1</v>
      </c>
      <c r="BO35" s="7">
        <f t="shared" si="47"/>
        <v>0</v>
      </c>
      <c r="BP35" s="7">
        <f t="shared" si="40"/>
        <v>0</v>
      </c>
      <c r="BQ35" s="7">
        <f t="shared" si="40"/>
        <v>7783.9012820512817</v>
      </c>
      <c r="BR35" s="7">
        <f t="shared" si="40"/>
        <v>0</v>
      </c>
      <c r="BS35" s="7">
        <f t="shared" si="40"/>
        <v>8101.6115384615377</v>
      </c>
      <c r="BU35" s="72"/>
      <c r="BV35" s="72"/>
      <c r="BW35" s="72"/>
      <c r="BX35" s="72"/>
      <c r="BY35" s="72"/>
      <c r="CA35" s="7">
        <f t="shared" si="48"/>
        <v>0</v>
      </c>
      <c r="CB35" s="7">
        <f t="shared" si="41"/>
        <v>0</v>
      </c>
      <c r="CC35" s="7">
        <f t="shared" si="41"/>
        <v>0</v>
      </c>
      <c r="CD35" s="7">
        <f t="shared" si="41"/>
        <v>0</v>
      </c>
      <c r="CE35" s="7">
        <f t="shared" si="41"/>
        <v>0</v>
      </c>
    </row>
    <row r="36" spans="1:83" x14ac:dyDescent="0.25">
      <c r="B36" s="16" t="s">
        <v>92</v>
      </c>
      <c r="C36" s="16">
        <f>C49+C51+C52+C83+C88+C84+C85+C86+C87</f>
        <v>3500</v>
      </c>
      <c r="D36" s="16">
        <f>D49+D51+D52+D83+D88+D84+D85+D86+D87</f>
        <v>3500</v>
      </c>
      <c r="F36" s="16">
        <f t="shared" ref="F36:K36" si="69">F49+F51+F52+F83+F88</f>
        <v>0</v>
      </c>
      <c r="G36" s="16">
        <f t="shared" si="69"/>
        <v>0</v>
      </c>
      <c r="H36" s="16">
        <f t="shared" si="69"/>
        <v>0</v>
      </c>
      <c r="I36" s="16">
        <f t="shared" si="69"/>
        <v>0</v>
      </c>
      <c r="J36" s="16">
        <f t="shared" si="69"/>
        <v>0</v>
      </c>
      <c r="K36" s="16">
        <f t="shared" si="69"/>
        <v>0</v>
      </c>
      <c r="M36" s="16">
        <f t="shared" ref="M36:P36" si="70">M49+M51+M52+M83+M88</f>
        <v>0</v>
      </c>
      <c r="N36" s="16">
        <f t="shared" si="70"/>
        <v>0</v>
      </c>
      <c r="O36" s="16">
        <f t="shared" si="70"/>
        <v>0</v>
      </c>
      <c r="P36" s="16">
        <f t="shared" si="70"/>
        <v>0</v>
      </c>
      <c r="S36" s="16"/>
      <c r="T36" s="16">
        <f>T49+T51+T52+T83+T88+T84+T85+T86+T87</f>
        <v>1491</v>
      </c>
      <c r="V36" s="16">
        <f t="shared" ref="V36:Y36" si="71">V49+V51+V52+V83+V88</f>
        <v>0</v>
      </c>
      <c r="W36" s="16">
        <f t="shared" si="71"/>
        <v>0</v>
      </c>
      <c r="X36" s="16">
        <f t="shared" si="71"/>
        <v>0</v>
      </c>
      <c r="Y36" s="16">
        <f t="shared" si="71"/>
        <v>0</v>
      </c>
      <c r="AA36" s="16">
        <f t="shared" ref="AA36:AC36" si="72">AA49+AA51+AA52+AA83+AA88+AA84+AA85+AA86+AA87</f>
        <v>0</v>
      </c>
      <c r="AB36" s="16">
        <f t="shared" si="72"/>
        <v>0</v>
      </c>
      <c r="AC36" s="16">
        <f t="shared" si="72"/>
        <v>0</v>
      </c>
      <c r="AD36" s="16">
        <f>AD49+AD51+AD52+AD83+AD88+AD84+AD85+AD86+AD87</f>
        <v>2008.9999999999998</v>
      </c>
      <c r="AH36" s="59" t="str">
        <f t="shared" si="46"/>
        <v>Macroni</v>
      </c>
      <c r="AI36" s="1">
        <f t="shared" si="32"/>
        <v>0</v>
      </c>
      <c r="AJ36" s="1">
        <f t="shared" si="33"/>
        <v>0</v>
      </c>
      <c r="AK36" s="1">
        <f t="shared" si="27"/>
        <v>1491</v>
      </c>
      <c r="AL36" s="1">
        <f t="shared" si="34"/>
        <v>0</v>
      </c>
      <c r="AM36" s="1">
        <f t="shared" si="35"/>
        <v>2008.9999999999998</v>
      </c>
      <c r="AN36" s="1">
        <f t="shared" si="36"/>
        <v>3500</v>
      </c>
      <c r="AP36" s="7">
        <f t="shared" si="37"/>
        <v>0</v>
      </c>
      <c r="AQ36" s="7">
        <f t="shared" si="37"/>
        <v>0</v>
      </c>
      <c r="AR36" s="7">
        <f t="shared" si="37"/>
        <v>1911.5384615384614</v>
      </c>
      <c r="AS36" s="7">
        <f t="shared" si="37"/>
        <v>0</v>
      </c>
      <c r="AT36" s="7">
        <f t="shared" si="37"/>
        <v>2575.6410256410254</v>
      </c>
      <c r="AU36" s="7">
        <f t="shared" si="38"/>
        <v>4487.1794871794864</v>
      </c>
      <c r="AW36" s="72"/>
      <c r="AX36" s="72"/>
      <c r="AY36" s="46">
        <v>0</v>
      </c>
      <c r="AZ36" s="72"/>
      <c r="BA36" s="46">
        <v>0</v>
      </c>
      <c r="BC36" s="7">
        <f t="shared" si="39"/>
        <v>0</v>
      </c>
      <c r="BD36" s="7">
        <f t="shared" si="39"/>
        <v>0</v>
      </c>
      <c r="BE36" s="7">
        <f t="shared" si="39"/>
        <v>0</v>
      </c>
      <c r="BF36" s="7">
        <f t="shared" si="39"/>
        <v>0</v>
      </c>
      <c r="BG36" s="7">
        <f t="shared" si="39"/>
        <v>0</v>
      </c>
      <c r="BI36" s="72"/>
      <c r="BJ36" s="72"/>
      <c r="BK36" s="46">
        <v>1</v>
      </c>
      <c r="BL36" s="72"/>
      <c r="BM36" s="46">
        <v>1</v>
      </c>
      <c r="BO36" s="7">
        <f t="shared" si="47"/>
        <v>0</v>
      </c>
      <c r="BP36" s="7">
        <f t="shared" si="40"/>
        <v>0</v>
      </c>
      <c r="BQ36" s="7">
        <f t="shared" si="40"/>
        <v>1911.5384615384614</v>
      </c>
      <c r="BR36" s="7">
        <f t="shared" si="40"/>
        <v>0</v>
      </c>
      <c r="BS36" s="7">
        <f t="shared" si="40"/>
        <v>2575.6410256410254</v>
      </c>
      <c r="BU36" s="72"/>
      <c r="BV36" s="72"/>
      <c r="BW36" s="72"/>
      <c r="BX36" s="72"/>
      <c r="BY36" s="72"/>
      <c r="CA36" s="7">
        <f t="shared" si="48"/>
        <v>0</v>
      </c>
      <c r="CB36" s="7">
        <f t="shared" si="41"/>
        <v>0</v>
      </c>
      <c r="CC36" s="7">
        <f t="shared" si="41"/>
        <v>0</v>
      </c>
      <c r="CD36" s="7">
        <f t="shared" si="41"/>
        <v>0</v>
      </c>
      <c r="CE36" s="7">
        <f t="shared" si="41"/>
        <v>0</v>
      </c>
    </row>
    <row r="37" spans="1:83" x14ac:dyDescent="0.25">
      <c r="B37" s="16" t="s">
        <v>93</v>
      </c>
      <c r="C37" s="16">
        <f>C71+C72+C73+C74</f>
        <v>2400</v>
      </c>
      <c r="D37" s="16">
        <f>D71+D72+D73+D74</f>
        <v>2400</v>
      </c>
      <c r="F37" s="16">
        <f t="shared" ref="F37:K37" si="73">F71+F72+F73+F74</f>
        <v>0</v>
      </c>
      <c r="G37" s="16">
        <f t="shared" si="73"/>
        <v>0</v>
      </c>
      <c r="H37" s="16">
        <f t="shared" si="73"/>
        <v>0</v>
      </c>
      <c r="I37" s="16">
        <f t="shared" si="73"/>
        <v>0</v>
      </c>
      <c r="J37" s="16">
        <f t="shared" si="73"/>
        <v>0</v>
      </c>
      <c r="K37" s="16">
        <f t="shared" si="73"/>
        <v>1391.071518987342</v>
      </c>
      <c r="M37" s="16">
        <f t="shared" ref="M37:P37" si="74">M71+M72+M73+M74</f>
        <v>0</v>
      </c>
      <c r="N37" s="16">
        <f t="shared" si="74"/>
        <v>0</v>
      </c>
      <c r="O37" s="16">
        <f t="shared" si="74"/>
        <v>0</v>
      </c>
      <c r="P37" s="16">
        <f t="shared" si="74"/>
        <v>0</v>
      </c>
      <c r="S37" s="16"/>
      <c r="T37" s="16">
        <f>T71+T72+T73+T74</f>
        <v>0</v>
      </c>
      <c r="V37" s="16">
        <f t="shared" ref="V37:X37" si="75">V71+V72+V73+V74</f>
        <v>0</v>
      </c>
      <c r="W37" s="16">
        <f t="shared" si="75"/>
        <v>0</v>
      </c>
      <c r="X37" s="16">
        <f t="shared" si="75"/>
        <v>0</v>
      </c>
      <c r="Y37" s="16">
        <f>Y71+Y72+Y73+Y74</f>
        <v>577.73278481012653</v>
      </c>
      <c r="AA37" s="16">
        <f t="shared" ref="AA37:AD37" si="76">AA71+AA72+AA73+AA74</f>
        <v>0</v>
      </c>
      <c r="AB37" s="16">
        <f t="shared" si="76"/>
        <v>0</v>
      </c>
      <c r="AC37" s="16">
        <f t="shared" si="76"/>
        <v>0</v>
      </c>
      <c r="AD37" s="16">
        <f t="shared" si="76"/>
        <v>431.19569620253162</v>
      </c>
      <c r="AH37" s="59" t="str">
        <f t="shared" si="46"/>
        <v>Supreme Semolina</v>
      </c>
      <c r="AI37" s="1">
        <f t="shared" si="32"/>
        <v>1391.071518987342</v>
      </c>
      <c r="AJ37" s="1">
        <f t="shared" si="33"/>
        <v>0</v>
      </c>
      <c r="AK37" s="1">
        <f t="shared" si="27"/>
        <v>0</v>
      </c>
      <c r="AL37" s="1">
        <f t="shared" si="34"/>
        <v>577.73278481012653</v>
      </c>
      <c r="AM37" s="1">
        <f t="shared" si="35"/>
        <v>431.19569620253162</v>
      </c>
      <c r="AN37" s="1">
        <f t="shared" si="36"/>
        <v>2400</v>
      </c>
      <c r="AP37" s="7">
        <f t="shared" si="37"/>
        <v>1783.4250243427462</v>
      </c>
      <c r="AQ37" s="7">
        <f t="shared" si="37"/>
        <v>0</v>
      </c>
      <c r="AR37" s="7">
        <f t="shared" si="37"/>
        <v>0</v>
      </c>
      <c r="AS37" s="7">
        <f t="shared" si="37"/>
        <v>740.68305744888016</v>
      </c>
      <c r="AT37" s="7">
        <f t="shared" si="37"/>
        <v>552.81499513145081</v>
      </c>
      <c r="AU37" s="7">
        <f t="shared" si="38"/>
        <v>3076.9230769230771</v>
      </c>
      <c r="AW37" s="46">
        <v>0.45</v>
      </c>
      <c r="AX37" s="72"/>
      <c r="AY37" s="72"/>
      <c r="AZ37" s="46">
        <v>0.32</v>
      </c>
      <c r="BA37" s="46">
        <v>0.3</v>
      </c>
      <c r="BC37" s="7">
        <f t="shared" si="39"/>
        <v>802.54126095423578</v>
      </c>
      <c r="BD37" s="7">
        <f t="shared" si="39"/>
        <v>0</v>
      </c>
      <c r="BE37" s="7">
        <f t="shared" si="39"/>
        <v>0</v>
      </c>
      <c r="BF37" s="7">
        <f t="shared" si="39"/>
        <v>237.01857838364165</v>
      </c>
      <c r="BG37" s="7">
        <f t="shared" si="39"/>
        <v>165.84449853943525</v>
      </c>
      <c r="BI37" s="46">
        <v>0.55000000000000004</v>
      </c>
      <c r="BJ37" s="72"/>
      <c r="BK37" s="72"/>
      <c r="BL37" s="46">
        <v>0.68</v>
      </c>
      <c r="BM37" s="46">
        <v>0.7</v>
      </c>
      <c r="BO37" s="7">
        <f t="shared" si="47"/>
        <v>980.88376338851049</v>
      </c>
      <c r="BP37" s="7">
        <f t="shared" si="40"/>
        <v>0</v>
      </c>
      <c r="BQ37" s="7">
        <f t="shared" si="40"/>
        <v>0</v>
      </c>
      <c r="BR37" s="7">
        <f t="shared" si="40"/>
        <v>503.66447906523854</v>
      </c>
      <c r="BS37" s="7">
        <f t="shared" si="40"/>
        <v>386.97049659201554</v>
      </c>
      <c r="BU37" s="72"/>
      <c r="BV37" s="72"/>
      <c r="BW37" s="72"/>
      <c r="BX37" s="72"/>
      <c r="BY37" s="72"/>
      <c r="CA37" s="7">
        <f t="shared" si="48"/>
        <v>0</v>
      </c>
      <c r="CB37" s="7">
        <f t="shared" si="41"/>
        <v>0</v>
      </c>
      <c r="CC37" s="7">
        <f t="shared" si="41"/>
        <v>0</v>
      </c>
      <c r="CD37" s="7">
        <f t="shared" si="41"/>
        <v>0</v>
      </c>
      <c r="CE37" s="7">
        <f t="shared" si="41"/>
        <v>0</v>
      </c>
    </row>
    <row r="38" spans="1:83" x14ac:dyDescent="0.25">
      <c r="B38" s="16" t="s">
        <v>73</v>
      </c>
      <c r="C38" s="16">
        <f>C55+C56+C57+C58+C89+C90</f>
        <v>1800</v>
      </c>
      <c r="D38" s="16">
        <f>D55+D56+D57+D58+D89+D90</f>
        <v>1800</v>
      </c>
      <c r="F38" s="16">
        <f t="shared" ref="F38:K38" si="77">F55+F56+F57+F58+F89+F90</f>
        <v>0</v>
      </c>
      <c r="G38" s="16">
        <f t="shared" si="77"/>
        <v>0</v>
      </c>
      <c r="H38" s="16">
        <f t="shared" si="77"/>
        <v>0</v>
      </c>
      <c r="I38" s="16">
        <f t="shared" si="77"/>
        <v>0</v>
      </c>
      <c r="J38" s="16">
        <f t="shared" si="77"/>
        <v>0</v>
      </c>
      <c r="K38" s="16">
        <f t="shared" si="77"/>
        <v>1800</v>
      </c>
      <c r="M38" s="16">
        <f t="shared" ref="M38:P38" si="78">M55+M56+M57+M58+M89+M90</f>
        <v>0</v>
      </c>
      <c r="N38" s="16">
        <f t="shared" si="78"/>
        <v>0</v>
      </c>
      <c r="O38" s="16">
        <f t="shared" si="78"/>
        <v>0</v>
      </c>
      <c r="P38" s="16">
        <f t="shared" si="78"/>
        <v>0</v>
      </c>
      <c r="S38" s="16"/>
      <c r="T38" s="16">
        <f>T55+T56+T57+T58+T89+T90</f>
        <v>0</v>
      </c>
      <c r="V38" s="16">
        <f t="shared" ref="V38:Y38" si="79">V55+V56+V57+V58+V89+V90</f>
        <v>0</v>
      </c>
      <c r="W38" s="16">
        <f t="shared" si="79"/>
        <v>0</v>
      </c>
      <c r="X38" s="16">
        <f t="shared" si="79"/>
        <v>0</v>
      </c>
      <c r="Y38" s="16">
        <f t="shared" si="79"/>
        <v>0</v>
      </c>
      <c r="AA38" s="16">
        <f t="shared" ref="AA38:AD38" si="80">AA55+AA56+AA57+AA58+AA89+AA90</f>
        <v>0</v>
      </c>
      <c r="AB38" s="16">
        <f t="shared" si="80"/>
        <v>0</v>
      </c>
      <c r="AC38" s="16">
        <f t="shared" si="80"/>
        <v>0</v>
      </c>
      <c r="AD38" s="16">
        <f t="shared" si="80"/>
        <v>0</v>
      </c>
      <c r="AH38" s="59" t="str">
        <f t="shared" si="46"/>
        <v>Mama Gold Semolina</v>
      </c>
      <c r="AI38" s="1">
        <f t="shared" si="32"/>
        <v>1800</v>
      </c>
      <c r="AJ38" s="1">
        <f t="shared" si="33"/>
        <v>0</v>
      </c>
      <c r="AK38" s="1">
        <f t="shared" si="27"/>
        <v>0</v>
      </c>
      <c r="AL38" s="1">
        <f t="shared" si="34"/>
        <v>0</v>
      </c>
      <c r="AM38" s="1">
        <f t="shared" si="35"/>
        <v>0</v>
      </c>
      <c r="AN38" s="1">
        <f t="shared" si="36"/>
        <v>1800</v>
      </c>
      <c r="AP38" s="7">
        <f t="shared" si="37"/>
        <v>2307.6923076923076</v>
      </c>
      <c r="AQ38" s="7">
        <f t="shared" si="37"/>
        <v>0</v>
      </c>
      <c r="AR38" s="7">
        <f t="shared" si="37"/>
        <v>0</v>
      </c>
      <c r="AS38" s="7">
        <f t="shared" si="37"/>
        <v>0</v>
      </c>
      <c r="AT38" s="7">
        <f t="shared" si="37"/>
        <v>0</v>
      </c>
      <c r="AU38" s="7">
        <f t="shared" si="38"/>
        <v>2307.6923076923076</v>
      </c>
      <c r="AW38" s="46">
        <v>0.45</v>
      </c>
      <c r="AX38" s="72"/>
      <c r="AY38" s="72"/>
      <c r="AZ38" s="72"/>
      <c r="BA38" s="72"/>
      <c r="BC38" s="7">
        <f t="shared" si="39"/>
        <v>1038.4615384615386</v>
      </c>
      <c r="BD38" s="7">
        <f t="shared" si="39"/>
        <v>0</v>
      </c>
      <c r="BE38" s="7">
        <f t="shared" si="39"/>
        <v>0</v>
      </c>
      <c r="BF38" s="7">
        <f t="shared" si="39"/>
        <v>0</v>
      </c>
      <c r="BG38" s="7">
        <f t="shared" si="39"/>
        <v>0</v>
      </c>
      <c r="BI38" s="46">
        <v>0.55000000000000004</v>
      </c>
      <c r="BJ38" s="72"/>
      <c r="BK38" s="72"/>
      <c r="BL38" s="72"/>
      <c r="BM38" s="72"/>
      <c r="BO38" s="7">
        <f t="shared" si="47"/>
        <v>1269.2307692307693</v>
      </c>
      <c r="BP38" s="7">
        <f t="shared" si="40"/>
        <v>0</v>
      </c>
      <c r="BQ38" s="7">
        <f t="shared" si="40"/>
        <v>0</v>
      </c>
      <c r="BR38" s="7">
        <f t="shared" si="40"/>
        <v>0</v>
      </c>
      <c r="BS38" s="7">
        <f t="shared" si="40"/>
        <v>0</v>
      </c>
      <c r="BU38" s="72"/>
      <c r="BV38" s="72"/>
      <c r="BW38" s="72"/>
      <c r="BX38" s="72"/>
      <c r="BY38" s="72"/>
      <c r="CA38" s="7">
        <f t="shared" si="48"/>
        <v>0</v>
      </c>
      <c r="CB38" s="7">
        <f t="shared" si="41"/>
        <v>0</v>
      </c>
      <c r="CC38" s="7">
        <f t="shared" si="41"/>
        <v>0</v>
      </c>
      <c r="CD38" s="7">
        <f t="shared" si="41"/>
        <v>0</v>
      </c>
      <c r="CE38" s="7">
        <f t="shared" si="41"/>
        <v>0</v>
      </c>
    </row>
    <row r="39" spans="1:83" x14ac:dyDescent="0.25">
      <c r="B39" s="16" t="s">
        <v>94</v>
      </c>
      <c r="C39" s="16">
        <f>C77+C78+C79+C80</f>
        <v>0</v>
      </c>
      <c r="D39" s="16">
        <f>D77+D78+D79+D80</f>
        <v>0</v>
      </c>
      <c r="F39" s="16">
        <f t="shared" ref="F39:K39" si="81">F77+F78+F79+F80</f>
        <v>0</v>
      </c>
      <c r="G39" s="16">
        <f t="shared" si="81"/>
        <v>0</v>
      </c>
      <c r="H39" s="16">
        <f t="shared" si="81"/>
        <v>0</v>
      </c>
      <c r="I39" s="16">
        <f t="shared" si="81"/>
        <v>0</v>
      </c>
      <c r="J39" s="16">
        <f t="shared" si="81"/>
        <v>0</v>
      </c>
      <c r="K39" s="16">
        <f t="shared" si="81"/>
        <v>0</v>
      </c>
      <c r="M39" s="16">
        <f t="shared" ref="M39:P39" si="82">M77+M78+M79+M80</f>
        <v>0</v>
      </c>
      <c r="N39" s="16">
        <f t="shared" si="82"/>
        <v>0</v>
      </c>
      <c r="O39" s="16">
        <f t="shared" si="82"/>
        <v>0</v>
      </c>
      <c r="P39" s="16">
        <f t="shared" si="82"/>
        <v>0</v>
      </c>
      <c r="S39" s="16"/>
      <c r="T39" s="16">
        <f>T77+T78+T79+T80</f>
        <v>0</v>
      </c>
      <c r="V39" s="16">
        <f t="shared" ref="V39:Y39" si="83">V77+V78+V79+V80</f>
        <v>0</v>
      </c>
      <c r="W39" s="16">
        <f t="shared" si="83"/>
        <v>0</v>
      </c>
      <c r="X39" s="16">
        <f t="shared" si="83"/>
        <v>0</v>
      </c>
      <c r="Y39" s="16">
        <f t="shared" si="83"/>
        <v>0</v>
      </c>
      <c r="AA39" s="16">
        <f t="shared" ref="AA39:AE39" si="84">AA77+AA78+AA79+AA80</f>
        <v>0</v>
      </c>
      <c r="AB39" s="16">
        <f t="shared" si="84"/>
        <v>0</v>
      </c>
      <c r="AC39" s="16">
        <f t="shared" si="84"/>
        <v>0</v>
      </c>
      <c r="AD39" s="16">
        <f t="shared" si="84"/>
        <v>0</v>
      </c>
      <c r="AE39" s="16">
        <f t="shared" si="84"/>
        <v>0</v>
      </c>
      <c r="AH39" s="59" t="str">
        <f t="shared" si="46"/>
        <v>Tuwovita</v>
      </c>
      <c r="AI39" s="1">
        <f t="shared" si="32"/>
        <v>0</v>
      </c>
      <c r="AJ39" s="1">
        <f t="shared" si="33"/>
        <v>0</v>
      </c>
      <c r="AK39" s="1">
        <f t="shared" si="27"/>
        <v>0</v>
      </c>
      <c r="AL39" s="1">
        <f t="shared" si="34"/>
        <v>0</v>
      </c>
      <c r="AM39" s="1">
        <f t="shared" si="35"/>
        <v>0</v>
      </c>
      <c r="AN39" s="1">
        <f t="shared" si="36"/>
        <v>0</v>
      </c>
      <c r="AP39" s="7">
        <f t="shared" si="37"/>
        <v>0</v>
      </c>
      <c r="AQ39" s="7">
        <f t="shared" si="37"/>
        <v>0</v>
      </c>
      <c r="AR39" s="7">
        <f t="shared" si="37"/>
        <v>0</v>
      </c>
      <c r="AS39" s="7">
        <f t="shared" si="37"/>
        <v>0</v>
      </c>
      <c r="AT39" s="7">
        <f t="shared" si="37"/>
        <v>0</v>
      </c>
      <c r="AU39" s="7">
        <f t="shared" si="38"/>
        <v>0</v>
      </c>
      <c r="AW39" s="46">
        <v>0.3</v>
      </c>
      <c r="AX39" s="72"/>
      <c r="AY39" s="72"/>
      <c r="AZ39" s="72"/>
      <c r="BA39" s="72"/>
      <c r="BC39" s="7">
        <f t="shared" si="39"/>
        <v>0</v>
      </c>
      <c r="BD39" s="7">
        <f t="shared" si="39"/>
        <v>0</v>
      </c>
      <c r="BE39" s="7">
        <f t="shared" si="39"/>
        <v>0</v>
      </c>
      <c r="BF39" s="7">
        <f t="shared" si="39"/>
        <v>0</v>
      </c>
      <c r="BG39" s="7">
        <f t="shared" si="39"/>
        <v>0</v>
      </c>
      <c r="BI39" s="46">
        <v>0.7</v>
      </c>
      <c r="BJ39" s="72"/>
      <c r="BK39" s="72"/>
      <c r="BL39" s="72"/>
      <c r="BM39" s="72"/>
      <c r="BO39" s="7">
        <f t="shared" si="47"/>
        <v>0</v>
      </c>
      <c r="BP39" s="7">
        <f t="shared" si="40"/>
        <v>0</v>
      </c>
      <c r="BQ39" s="7">
        <f t="shared" si="40"/>
        <v>0</v>
      </c>
      <c r="BR39" s="7">
        <f t="shared" si="40"/>
        <v>0</v>
      </c>
      <c r="BS39" s="7">
        <f t="shared" si="40"/>
        <v>0</v>
      </c>
      <c r="BU39" s="72"/>
      <c r="BV39" s="72"/>
      <c r="BW39" s="72"/>
      <c r="BX39" s="72"/>
      <c r="BY39" s="72"/>
      <c r="CA39" s="7">
        <f t="shared" si="48"/>
        <v>0</v>
      </c>
      <c r="CB39" s="7">
        <f t="shared" si="41"/>
        <v>0</v>
      </c>
      <c r="CC39" s="7">
        <f t="shared" si="41"/>
        <v>0</v>
      </c>
      <c r="CD39" s="7">
        <f t="shared" si="41"/>
        <v>0</v>
      </c>
      <c r="CE39" s="7">
        <f t="shared" si="41"/>
        <v>0</v>
      </c>
    </row>
    <row r="40" spans="1:83" ht="21" x14ac:dyDescent="0.35">
      <c r="A40" s="8"/>
      <c r="B40" s="33"/>
      <c r="C40" s="33">
        <f>SUM(C27:C39)</f>
        <v>98241.7</v>
      </c>
      <c r="D40" s="33">
        <f>SUM(D27:D39)</f>
        <v>98241.7</v>
      </c>
      <c r="E40" s="8"/>
      <c r="F40" s="47">
        <v>0</v>
      </c>
      <c r="G40" s="47">
        <f>SUM(G95:G110)/G17</f>
        <v>0.91826813518398587</v>
      </c>
      <c r="H40" s="47">
        <f>SUM(H95:H110)/H17</f>
        <v>0.93797589325652386</v>
      </c>
      <c r="I40" s="47">
        <f>SUM(I95:I110)/I17</f>
        <v>0.85162349313292696</v>
      </c>
      <c r="J40" s="47">
        <f>(J96+J104)/J23</f>
        <v>0.84733935487087675</v>
      </c>
      <c r="K40" s="47">
        <f>K93/K17</f>
        <v>0.73688168465468595</v>
      </c>
      <c r="L40" s="8"/>
      <c r="M40" s="47">
        <f>SUM(M95:M110)/M17</f>
        <v>0.48350237029482313</v>
      </c>
      <c r="N40" s="47">
        <f>SUM(N95:N110)/N17</f>
        <v>0.79682701569494008</v>
      </c>
      <c r="O40" s="47">
        <f>SUM(O95:O110)/O17</f>
        <v>0.79682701569494008</v>
      </c>
      <c r="P40" s="48">
        <f>P93/P17</f>
        <v>0.71437316164227771</v>
      </c>
      <c r="Q40" s="8"/>
      <c r="R40" s="47">
        <f>SUM(R95:R110)/R17</f>
        <v>0.95060531133325299</v>
      </c>
      <c r="S40" s="47">
        <f t="shared" ref="S40:T40" si="85">SUM(S95:S110)/S17</f>
        <v>0.63363844393592672</v>
      </c>
      <c r="T40" s="47">
        <f t="shared" si="85"/>
        <v>0.86526807780320369</v>
      </c>
      <c r="U40" s="8"/>
      <c r="V40" s="47">
        <f>SUM(V95:V110)/V17</f>
        <v>0.92004145089281619</v>
      </c>
      <c r="W40" s="47">
        <f>SUM(W95:W110)/W17</f>
        <v>0.93582788040164178</v>
      </c>
      <c r="X40" s="47">
        <f>SUM(X95:X110)/X17</f>
        <v>0.93582788040164178</v>
      </c>
      <c r="Y40" s="47">
        <f>Y93/Y17</f>
        <v>0.91891018644252365</v>
      </c>
      <c r="Z40" s="8"/>
      <c r="AA40" s="47">
        <f>SUM(AA95:AA110)/AA17</f>
        <v>0.93056156835954995</v>
      </c>
      <c r="AB40" s="47">
        <f>SUM(AB95:AB110)/AB17</f>
        <v>0.61353333704561452</v>
      </c>
      <c r="AC40" s="47">
        <f>SUM(AC95:AC110)/AC17</f>
        <v>0.9161500793112336</v>
      </c>
      <c r="AD40" s="47">
        <f>AD93/AD17</f>
        <v>0.87785548714342587</v>
      </c>
      <c r="AE40" s="8"/>
      <c r="AF40" s="8"/>
      <c r="AG40" s="54"/>
      <c r="AH40" s="61"/>
      <c r="AI40" s="59">
        <f>SUM(AI27:AI39)</f>
        <v>24782.621518987344</v>
      </c>
      <c r="AJ40" s="59">
        <f t="shared" ref="AJ40:AN40" si="86">SUM(AJ27:AJ39)</f>
        <v>26949.539999999997</v>
      </c>
      <c r="AK40" s="59">
        <f t="shared" si="86"/>
        <v>7562.4430000000002</v>
      </c>
      <c r="AL40" s="59">
        <f t="shared" si="86"/>
        <v>17332.822784810127</v>
      </c>
      <c r="AM40" s="59">
        <f t="shared" si="86"/>
        <v>21614.272696202534</v>
      </c>
      <c r="AN40" s="59">
        <f t="shared" si="86"/>
        <v>98241.7</v>
      </c>
      <c r="AO40" s="57"/>
      <c r="AP40" s="57">
        <f t="shared" si="37"/>
        <v>31772.591691009413</v>
      </c>
      <c r="AQ40" s="57">
        <f t="shared" si="37"/>
        <v>34550.692307692305</v>
      </c>
      <c r="AR40" s="57">
        <f t="shared" si="37"/>
        <v>9695.4397435897426</v>
      </c>
      <c r="AS40" s="57">
        <f t="shared" si="37"/>
        <v>22221.567672833495</v>
      </c>
      <c r="AT40" s="57">
        <f t="shared" si="37"/>
        <v>27710.606020772477</v>
      </c>
      <c r="AU40" s="57">
        <f t="shared" si="37"/>
        <v>125950.89743589742</v>
      </c>
      <c r="AV40" s="57"/>
      <c r="AW40" s="57"/>
      <c r="AX40" s="57"/>
      <c r="AY40" s="57"/>
      <c r="AZ40" s="57"/>
      <c r="BA40" s="57"/>
      <c r="BB40" s="57"/>
      <c r="BC40" s="57">
        <f>SUM(BC27:BC39)</f>
        <v>4082.0604917234668</v>
      </c>
      <c r="BD40" s="57">
        <f t="shared" ref="BD40:BG40" si="87">SUM(BD27:BD39)</f>
        <v>16653.492307692308</v>
      </c>
      <c r="BE40" s="57">
        <f t="shared" si="87"/>
        <v>0</v>
      </c>
      <c r="BF40" s="57">
        <f t="shared" si="87"/>
        <v>7597.5506296656913</v>
      </c>
      <c r="BG40" s="57">
        <f t="shared" si="87"/>
        <v>3769.4803959753331</v>
      </c>
      <c r="BH40" s="57"/>
      <c r="BI40" s="57"/>
      <c r="BJ40" s="57"/>
      <c r="BK40" s="57"/>
      <c r="BL40" s="57"/>
      <c r="BM40" s="57"/>
      <c r="BN40" s="57"/>
      <c r="BO40" s="57">
        <f>SUM(BO27:BO39)</f>
        <v>23398.223506978258</v>
      </c>
      <c r="BP40" s="57">
        <f t="shared" ref="BP40:BS40" si="88">SUM(BP27:BP39)</f>
        <v>16974.123076923075</v>
      </c>
      <c r="BQ40" s="57">
        <f t="shared" si="88"/>
        <v>9695.4397435897426</v>
      </c>
      <c r="BR40" s="57">
        <f t="shared" si="88"/>
        <v>14624.017043167802</v>
      </c>
      <c r="BS40" s="57">
        <f t="shared" si="88"/>
        <v>23941.125624797147</v>
      </c>
      <c r="BT40" s="57"/>
      <c r="BU40" s="57"/>
      <c r="BV40" s="57"/>
      <c r="BW40" s="57"/>
      <c r="BX40" s="57"/>
      <c r="BY40" s="57"/>
      <c r="BZ40" s="57"/>
      <c r="CA40" s="57">
        <f>SUM(CA27:CA39)</f>
        <v>4292.3076923076924</v>
      </c>
      <c r="CB40" s="57">
        <f t="shared" ref="CB40:CE40" si="89">SUM(CB27:CB39)</f>
        <v>923.07692307692309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20735.552799415775</v>
      </c>
      <c r="BD41" s="84"/>
      <c r="BE41" s="84"/>
      <c r="BF41" s="7">
        <f>BF40</f>
        <v>7597.5506296656913</v>
      </c>
      <c r="BG41" s="7">
        <f>BG40</f>
        <v>3769.4803959753331</v>
      </c>
      <c r="BO41" s="84">
        <f>SUM(BO40:BQ40)</f>
        <v>50067.786327491078</v>
      </c>
      <c r="BP41" s="84"/>
      <c r="BQ41" s="84"/>
      <c r="BR41" s="7">
        <f>BR40</f>
        <v>14624.017043167802</v>
      </c>
      <c r="BS41" s="7">
        <f>BS40</f>
        <v>23941.125624797147</v>
      </c>
      <c r="CA41" s="84">
        <f>SUM(CA40:CC40)</f>
        <v>5215.3846153846152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97271</v>
      </c>
      <c r="BC42" s="71">
        <f>BC41/4.33</f>
        <v>4788.8112700729271</v>
      </c>
      <c r="BD42" s="71"/>
      <c r="BE42" s="71"/>
      <c r="BF42" s="7">
        <f>BF41/4.33</f>
        <v>1754.6306304077809</v>
      </c>
      <c r="BG42" s="7">
        <f>BG41/4.33</f>
        <v>870.54974502894527</v>
      </c>
      <c r="BO42" s="71">
        <f>BO41/4.33</f>
        <v>11562.999151845514</v>
      </c>
      <c r="BP42" s="71"/>
      <c r="BQ42" s="71"/>
      <c r="BR42" s="7">
        <f>BR41/4.33</f>
        <v>3377.3711416091919</v>
      </c>
      <c r="BS42" s="7">
        <f>BS41/4.33</f>
        <v>5529.1283198145838</v>
      </c>
      <c r="CA42" s="71">
        <f>CA41/4.33</f>
        <v>1204.4768164860543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0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36">
        <v>520</v>
      </c>
      <c r="D46" s="36">
        <f t="shared" si="90"/>
        <v>520</v>
      </c>
      <c r="K46" s="7">
        <f>C46</f>
        <v>520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92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36">
        <f>C66*2.5%</f>
        <v>285.5</v>
      </c>
      <c r="D48" s="36">
        <f t="shared" si="90"/>
        <v>285.5</v>
      </c>
      <c r="K48" s="7">
        <f t="shared" si="94"/>
        <v>0</v>
      </c>
      <c r="P48" s="7">
        <f t="shared" si="91"/>
        <v>0</v>
      </c>
      <c r="T48" s="7">
        <f>2.5%*T66</f>
        <v>139.89500000000001</v>
      </c>
      <c r="Y48" s="7">
        <f t="shared" si="92"/>
        <v>0</v>
      </c>
      <c r="AD48" s="7">
        <f>2.5%*AD66</f>
        <v>145.60499999999999</v>
      </c>
    </row>
    <row r="49" spans="1:30" x14ac:dyDescent="0.25">
      <c r="A49" s="26"/>
      <c r="B49" s="29" t="s">
        <v>85</v>
      </c>
      <c r="C49" s="36">
        <v>250</v>
      </c>
      <c r="D49" s="36">
        <f t="shared" si="90"/>
        <v>250</v>
      </c>
      <c r="K49" s="7">
        <f t="shared" si="94"/>
        <v>0</v>
      </c>
      <c r="T49" s="7">
        <f>C49</f>
        <v>250</v>
      </c>
    </row>
    <row r="50" spans="1:30" x14ac:dyDescent="0.25">
      <c r="A50" s="26"/>
      <c r="B50" s="51" t="s">
        <v>100</v>
      </c>
      <c r="C50" s="36">
        <v>300</v>
      </c>
      <c r="D50" s="36">
        <f t="shared" si="90"/>
        <v>300</v>
      </c>
      <c r="K50" s="7">
        <f t="shared" si="94"/>
        <v>0</v>
      </c>
      <c r="P50" s="7">
        <f t="shared" si="91"/>
        <v>0</v>
      </c>
      <c r="Y50" s="7">
        <f>C50</f>
        <v>300</v>
      </c>
    </row>
    <row r="51" spans="1:30" x14ac:dyDescent="0.25">
      <c r="A51" s="26">
        <v>100000017902</v>
      </c>
      <c r="B51" s="51" t="s">
        <v>97</v>
      </c>
      <c r="C51" s="36">
        <v>2870</v>
      </c>
      <c r="D51" s="36">
        <f t="shared" si="90"/>
        <v>2870</v>
      </c>
      <c r="K51" s="7">
        <f t="shared" si="94"/>
        <v>0</v>
      </c>
      <c r="P51" s="7">
        <f t="shared" si="91"/>
        <v>0</v>
      </c>
      <c r="T51" s="7">
        <f>C51*0.3</f>
        <v>861</v>
      </c>
      <c r="Y51" s="7">
        <f t="shared" si="92"/>
        <v>0</v>
      </c>
      <c r="AD51" s="7">
        <f>C51*0.7</f>
        <v>2008.9999999999998</v>
      </c>
    </row>
    <row r="52" spans="1:30" x14ac:dyDescent="0.25">
      <c r="A52" s="26">
        <v>100000029991</v>
      </c>
      <c r="B52" s="51" t="s">
        <v>98</v>
      </c>
      <c r="C52" s="36">
        <v>30</v>
      </c>
      <c r="D52" s="36">
        <f t="shared" si="90"/>
        <v>30</v>
      </c>
      <c r="K52" s="7">
        <f t="shared" si="94"/>
        <v>0</v>
      </c>
      <c r="P52" s="7">
        <f t="shared" si="91"/>
        <v>0</v>
      </c>
      <c r="T52" s="7">
        <f>C52</f>
        <v>30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20691</v>
      </c>
      <c r="D53" s="36">
        <f t="shared" si="90"/>
        <v>20690.999999999996</v>
      </c>
      <c r="K53" s="7">
        <v>0</v>
      </c>
      <c r="P53" s="7">
        <f>C53*0.94</f>
        <v>19449.539999999997</v>
      </c>
      <c r="Y53" s="7">
        <f>C53*0.06</f>
        <v>1241.46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36">
        <f>6250-1250</f>
        <v>5000</v>
      </c>
      <c r="D54" s="36">
        <f t="shared" si="90"/>
        <v>5000</v>
      </c>
      <c r="F54" s="37"/>
      <c r="G54" s="37"/>
      <c r="H54" s="37"/>
      <c r="I54" s="37"/>
      <c r="J54" s="37"/>
      <c r="K54" s="7">
        <v>0</v>
      </c>
      <c r="P54" s="7">
        <f>C54*0.8</f>
        <v>4000</v>
      </c>
      <c r="Y54" s="7">
        <v>0</v>
      </c>
      <c r="AD54" s="7">
        <f>C54*0.2</f>
        <v>1000</v>
      </c>
    </row>
    <row r="55" spans="1:30" x14ac:dyDescent="0.25">
      <c r="A55" s="26">
        <v>100000006028</v>
      </c>
      <c r="B55" s="27" t="s">
        <v>32</v>
      </c>
      <c r="C55" s="36">
        <v>0</v>
      </c>
      <c r="D55" s="36">
        <f t="shared" si="90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36">
        <v>0</v>
      </c>
      <c r="D56" s="36">
        <f t="shared" si="90"/>
        <v>0</v>
      </c>
      <c r="F56" s="38"/>
      <c r="G56" s="38"/>
      <c r="H56" s="38"/>
      <c r="I56" s="38"/>
      <c r="J56" s="38"/>
      <c r="K56" s="7">
        <f t="shared" ref="K56:K58" si="95">C56</f>
        <v>0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36">
        <v>144</v>
      </c>
      <c r="D57" s="36">
        <f t="shared" si="90"/>
        <v>144</v>
      </c>
      <c r="F57" s="38"/>
      <c r="G57" s="38"/>
      <c r="H57" s="38"/>
      <c r="I57" s="38"/>
      <c r="J57" s="38"/>
      <c r="K57" s="7">
        <f t="shared" si="95"/>
        <v>144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36">
        <v>216</v>
      </c>
      <c r="D58" s="36">
        <f t="shared" si="90"/>
        <v>216</v>
      </c>
      <c r="F58" s="38"/>
      <c r="G58" s="38"/>
      <c r="H58" s="38"/>
      <c r="I58" s="38"/>
      <c r="J58" s="38"/>
      <c r="K58" s="7">
        <f t="shared" si="95"/>
        <v>216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36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36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36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36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36">
        <v>7700</v>
      </c>
      <c r="D63" s="36">
        <f t="shared" si="90"/>
        <v>7700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6545</v>
      </c>
      <c r="AD63" s="7">
        <f>C63*0.15</f>
        <v>1155</v>
      </c>
    </row>
    <row r="64" spans="1:30" x14ac:dyDescent="0.25">
      <c r="A64" s="26">
        <v>100000002986</v>
      </c>
      <c r="B64" s="27" t="s">
        <v>41</v>
      </c>
      <c r="C64" s="36">
        <f>22393-1250</f>
        <v>21143</v>
      </c>
      <c r="D64" s="36">
        <f t="shared" si="90"/>
        <v>21143</v>
      </c>
      <c r="K64" s="7">
        <f>C64*0.25</f>
        <v>5285.75</v>
      </c>
      <c r="P64" s="7">
        <v>0</v>
      </c>
      <c r="Y64" s="7">
        <f>C64*0.41</f>
        <v>8668.6299999999992</v>
      </c>
      <c r="AD64" s="7">
        <f>C64*0.34</f>
        <v>7188.6200000000008</v>
      </c>
    </row>
    <row r="65" spans="1:32" x14ac:dyDescent="0.25">
      <c r="A65" s="26">
        <v>100000017891</v>
      </c>
      <c r="B65" s="51" t="s">
        <v>101</v>
      </c>
      <c r="C65" s="36">
        <f>13056+2000</f>
        <v>15056</v>
      </c>
      <c r="D65" s="36">
        <f t="shared" si="90"/>
        <v>15056.000000000002</v>
      </c>
      <c r="K65" s="7">
        <f>C65*0.8</f>
        <v>12044.800000000001</v>
      </c>
      <c r="Y65" s="7">
        <v>0</v>
      </c>
      <c r="AD65" s="7">
        <f>C65*0.2</f>
        <v>3011.2000000000003</v>
      </c>
    </row>
    <row r="66" spans="1:32" x14ac:dyDescent="0.25">
      <c r="A66" s="26">
        <v>100000018687</v>
      </c>
      <c r="B66" s="51" t="s">
        <v>102</v>
      </c>
      <c r="C66" s="36">
        <f>11820-400</f>
        <v>11420</v>
      </c>
      <c r="D66" s="36">
        <f t="shared" si="90"/>
        <v>11420</v>
      </c>
      <c r="K66" s="7">
        <f t="shared" si="94"/>
        <v>0</v>
      </c>
      <c r="P66" s="7">
        <f t="shared" si="91"/>
        <v>0</v>
      </c>
      <c r="T66" s="7">
        <f>C66*0.49</f>
        <v>5595.8</v>
      </c>
      <c r="Y66" s="7">
        <f t="shared" si="92"/>
        <v>0</v>
      </c>
      <c r="AD66" s="7">
        <f>C66*0.51</f>
        <v>5824.2</v>
      </c>
      <c r="AF66" s="7">
        <f>AD66*4.6%</f>
        <v>267.91319999999996</v>
      </c>
    </row>
    <row r="67" spans="1:32" x14ac:dyDescent="0.25">
      <c r="A67" s="26">
        <v>100000006037</v>
      </c>
      <c r="B67" s="27" t="s">
        <v>43</v>
      </c>
      <c r="C67" s="36">
        <v>4000</v>
      </c>
      <c r="D67" s="36">
        <f t="shared" si="90"/>
        <v>4000</v>
      </c>
      <c r="K67" s="7">
        <v>3200</v>
      </c>
      <c r="P67" s="7">
        <f>C67-K67</f>
        <v>800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36">
        <v>0</v>
      </c>
      <c r="D68" s="36">
        <f t="shared" si="90"/>
        <v>0</v>
      </c>
      <c r="K68" s="7">
        <f t="shared" ref="K68:K69" si="96">C68</f>
        <v>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36">
        <v>541</v>
      </c>
      <c r="D69" s="36">
        <f t="shared" si="90"/>
        <v>541</v>
      </c>
      <c r="K69" s="7">
        <f t="shared" si="96"/>
        <v>541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36">
        <v>2500</v>
      </c>
      <c r="D70" s="36">
        <f t="shared" si="90"/>
        <v>2500</v>
      </c>
      <c r="K70" s="7">
        <f t="shared" si="94"/>
        <v>0</v>
      </c>
      <c r="P70" s="7">
        <f>C70*0.8</f>
        <v>2000</v>
      </c>
      <c r="Y70" s="7">
        <f t="shared" si="92"/>
        <v>0</v>
      </c>
      <c r="AD70" s="7">
        <f>C70*0.2</f>
        <v>500</v>
      </c>
    </row>
    <row r="71" spans="1:32" x14ac:dyDescent="0.25">
      <c r="A71" s="26">
        <v>100000002976</v>
      </c>
      <c r="B71" s="27" t="s">
        <v>48</v>
      </c>
      <c r="C71" s="36">
        <v>1440</v>
      </c>
      <c r="D71" s="36">
        <f t="shared" si="90"/>
        <v>1440</v>
      </c>
      <c r="K71" s="7">
        <f>C71-Y71-AD71</f>
        <v>710.64075189873438</v>
      </c>
      <c r="P71" s="7">
        <f t="shared" ref="P71:P74" si="97">SUM(M71:O71)</f>
        <v>0</v>
      </c>
      <c r="Y71" s="7">
        <f>0.03*(Y99+Y100)*0.74/0.79</f>
        <v>427.52226075949358</v>
      </c>
      <c r="AD71" s="7">
        <f>(0.03*($AD$99+$AD$100+$AD$107))*0.7/0.79</f>
        <v>301.83698734177216</v>
      </c>
    </row>
    <row r="72" spans="1:32" x14ac:dyDescent="0.25">
      <c r="A72" s="26">
        <v>100000002977</v>
      </c>
      <c r="B72" s="27" t="s">
        <v>49</v>
      </c>
      <c r="C72" s="36">
        <v>480</v>
      </c>
      <c r="D72" s="36">
        <f t="shared" si="90"/>
        <v>480</v>
      </c>
      <c r="K72" s="7">
        <f>C72-Y72-AD72</f>
        <v>275.53602911392409</v>
      </c>
      <c r="P72" s="7">
        <f t="shared" si="97"/>
        <v>0</v>
      </c>
      <c r="Y72" s="7">
        <f>0.03*(Y99+Y100)*0.13/0.79</f>
        <v>75.105262025316449</v>
      </c>
      <c r="AD72" s="7">
        <f>(0.03*($AD$99+$AD$100+$AD$107))*0.3/0.79</f>
        <v>129.35870886075949</v>
      </c>
    </row>
    <row r="73" spans="1:32" x14ac:dyDescent="0.25">
      <c r="A73" s="26">
        <v>100000002978</v>
      </c>
      <c r="B73" s="27" t="s">
        <v>50</v>
      </c>
      <c r="C73" s="36">
        <v>192</v>
      </c>
      <c r="D73" s="36">
        <f t="shared" si="90"/>
        <v>192</v>
      </c>
      <c r="K73" s="7">
        <f>C73-Y73</f>
        <v>145.78137721518988</v>
      </c>
      <c r="P73" s="7">
        <f t="shared" si="97"/>
        <v>0</v>
      </c>
      <c r="Y73" s="7">
        <f>0.03*(Y99+Y100)*0.08/0.79</f>
        <v>46.218622784810123</v>
      </c>
    </row>
    <row r="74" spans="1:32" x14ac:dyDescent="0.25">
      <c r="A74" s="26">
        <v>100000015941</v>
      </c>
      <c r="B74" s="27" t="s">
        <v>51</v>
      </c>
      <c r="C74" s="36">
        <v>288</v>
      </c>
      <c r="D74" s="36">
        <f t="shared" si="90"/>
        <v>288</v>
      </c>
      <c r="K74" s="7">
        <f>C74-Y74</f>
        <v>259.11336075949367</v>
      </c>
      <c r="P74" s="7">
        <f t="shared" si="97"/>
        <v>0</v>
      </c>
      <c r="Y74" s="7">
        <f>0.03*(Y99+Y100)*0.05/0.79</f>
        <v>28.886639240506327</v>
      </c>
    </row>
    <row r="75" spans="1:32" x14ac:dyDescent="0.25">
      <c r="A75" s="26">
        <v>100000017899</v>
      </c>
      <c r="B75" s="27" t="s">
        <v>52</v>
      </c>
      <c r="C75" s="4">
        <f>C66*1%</f>
        <v>114.2</v>
      </c>
      <c r="D75" s="36">
        <f t="shared" si="90"/>
        <v>114.2</v>
      </c>
      <c r="K75" s="7">
        <f t="shared" si="94"/>
        <v>0</v>
      </c>
      <c r="P75" s="7">
        <f t="shared" si="91"/>
        <v>0</v>
      </c>
      <c r="T75" s="74">
        <f>T66*1%</f>
        <v>55.958000000000006</v>
      </c>
      <c r="Y75" s="7">
        <f t="shared" si="92"/>
        <v>0</v>
      </c>
      <c r="AD75" s="74">
        <f>AD66*1%</f>
        <v>58.241999999999997</v>
      </c>
    </row>
    <row r="76" spans="1:32" x14ac:dyDescent="0.25">
      <c r="A76" s="26">
        <v>100000017897</v>
      </c>
      <c r="B76" s="27" t="s">
        <v>53</v>
      </c>
      <c r="C76" s="36">
        <f>C66*5%</f>
        <v>571</v>
      </c>
      <c r="D76" s="36">
        <f t="shared" si="90"/>
        <v>571</v>
      </c>
      <c r="K76" s="7">
        <f t="shared" si="94"/>
        <v>0</v>
      </c>
      <c r="P76" s="7">
        <f t="shared" si="91"/>
        <v>0</v>
      </c>
      <c r="T76" s="43">
        <f>T66*5%</f>
        <v>279.79000000000002</v>
      </c>
      <c r="Y76" s="7">
        <f t="shared" si="92"/>
        <v>0</v>
      </c>
      <c r="AD76" s="43">
        <f>AD66*5%</f>
        <v>291.20999999999998</v>
      </c>
    </row>
    <row r="77" spans="1:32" x14ac:dyDescent="0.25">
      <c r="A77" s="26"/>
      <c r="B77" s="27" t="s">
        <v>121</v>
      </c>
      <c r="C77" s="36">
        <v>0</v>
      </c>
      <c r="D77" s="36">
        <f t="shared" si="90"/>
        <v>0</v>
      </c>
      <c r="F77" s="15"/>
      <c r="K77" s="7">
        <f>C77</f>
        <v>0</v>
      </c>
    </row>
    <row r="78" spans="1:32" x14ac:dyDescent="0.25">
      <c r="A78" s="26"/>
      <c r="B78" s="27" t="s">
        <v>122</v>
      </c>
      <c r="C78" s="36">
        <v>0</v>
      </c>
      <c r="D78" s="36">
        <f t="shared" si="90"/>
        <v>0</v>
      </c>
      <c r="F78" s="15"/>
      <c r="K78" s="7">
        <f t="shared" ref="K78:K80" si="98">C78</f>
        <v>0</v>
      </c>
    </row>
    <row r="79" spans="1:32" x14ac:dyDescent="0.25">
      <c r="A79" s="26"/>
      <c r="B79" s="27" t="s">
        <v>127</v>
      </c>
      <c r="C79" s="36">
        <v>0</v>
      </c>
      <c r="D79" s="36">
        <f t="shared" si="90"/>
        <v>0</v>
      </c>
      <c r="F79" s="15"/>
      <c r="K79" s="7">
        <f t="shared" si="98"/>
        <v>0</v>
      </c>
    </row>
    <row r="80" spans="1:32" x14ac:dyDescent="0.25">
      <c r="A80" s="26"/>
      <c r="B80" s="27" t="s">
        <v>128</v>
      </c>
      <c r="C80" s="36">
        <v>0</v>
      </c>
      <c r="D80" s="36">
        <f t="shared" si="90"/>
        <v>0</v>
      </c>
      <c r="F80" s="15"/>
      <c r="K80" s="7">
        <f t="shared" si="98"/>
        <v>0</v>
      </c>
    </row>
    <row r="81" spans="1:32" x14ac:dyDescent="0.25">
      <c r="A81" s="26">
        <v>100000002979</v>
      </c>
      <c r="B81" s="27" t="s">
        <v>54</v>
      </c>
      <c r="C81" s="36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36">
        <v>0</v>
      </c>
      <c r="D82" s="36">
        <f t="shared" si="90"/>
        <v>0</v>
      </c>
      <c r="K82" s="7">
        <v>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36">
        <v>350</v>
      </c>
      <c r="D83" s="36">
        <f t="shared" si="90"/>
        <v>350</v>
      </c>
      <c r="K83" s="7">
        <f t="shared" si="94"/>
        <v>0</v>
      </c>
      <c r="P83" s="7">
        <f t="shared" si="91"/>
        <v>0</v>
      </c>
      <c r="T83" s="7">
        <f>C83</f>
        <v>350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36"/>
      <c r="D84" s="36">
        <f t="shared" si="90"/>
        <v>0</v>
      </c>
      <c r="K84" s="7">
        <f t="shared" si="94"/>
        <v>0</v>
      </c>
      <c r="P84" s="7">
        <f t="shared" si="91"/>
        <v>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36"/>
      <c r="D85" s="36">
        <f t="shared" si="90"/>
        <v>0</v>
      </c>
      <c r="K85" s="7">
        <f t="shared" si="94"/>
        <v>0</v>
      </c>
      <c r="P85" s="7">
        <f t="shared" si="91"/>
        <v>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36"/>
      <c r="D86" s="36">
        <f t="shared" si="90"/>
        <v>0</v>
      </c>
      <c r="K86" s="7">
        <f t="shared" si="94"/>
        <v>0</v>
      </c>
      <c r="P86" s="7">
        <f t="shared" si="91"/>
        <v>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36"/>
      <c r="D87" s="36">
        <f t="shared" si="90"/>
        <v>0</v>
      </c>
      <c r="K87" s="7">
        <f t="shared" si="94"/>
        <v>0</v>
      </c>
      <c r="P87" s="7">
        <f t="shared" si="91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36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36">
        <v>1080</v>
      </c>
      <c r="D89" s="36">
        <f t="shared" si="90"/>
        <v>1080</v>
      </c>
      <c r="K89" s="7">
        <f>C89</f>
        <v>1080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36">
        <v>360</v>
      </c>
      <c r="D90" s="36">
        <f t="shared" si="90"/>
        <v>360</v>
      </c>
      <c r="K90" s="7">
        <f>C90</f>
        <v>360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36"/>
      <c r="D91" s="36"/>
    </row>
    <row r="92" spans="1:32" x14ac:dyDescent="0.25">
      <c r="A92" s="26">
        <v>100000025958</v>
      </c>
      <c r="B92" s="27" t="s">
        <v>133</v>
      </c>
      <c r="C92" s="36">
        <v>700</v>
      </c>
      <c r="D92" s="36">
        <f>K92+P92+T92+Y92+AD92</f>
        <v>700</v>
      </c>
      <c r="K92" s="7">
        <f t="shared" si="94"/>
        <v>0</v>
      </c>
      <c r="P92" s="7">
        <f>C92</f>
        <v>700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98241.7</v>
      </c>
      <c r="D93" s="36">
        <f>K93+P93+T93+Y93+AD93</f>
        <v>98241.700000000012</v>
      </c>
      <c r="K93" s="36">
        <f>SUM(K45:K92)</f>
        <v>24782.62151898734</v>
      </c>
      <c r="P93" s="36">
        <f>SUM(P45:P92)</f>
        <v>26949.539999999997</v>
      </c>
      <c r="S93" s="36"/>
      <c r="T93" s="36">
        <f>SUM(T45:T92)</f>
        <v>7562.4429999999993</v>
      </c>
      <c r="Y93" s="36">
        <f>SUM(Y45:Y92)</f>
        <v>17332.822784810131</v>
      </c>
      <c r="AD93" s="36">
        <f>SUM(AD45:AD92)</f>
        <v>21614.27269620253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2500</v>
      </c>
      <c r="D95" s="36">
        <f t="shared" ref="D95:D111" si="99">K95+P95+R95+Y95+AD95</f>
        <v>2500</v>
      </c>
      <c r="K95" s="36">
        <f>K70+K47</f>
        <v>0</v>
      </c>
      <c r="N95" s="7">
        <f>P95*0.5</f>
        <v>1000</v>
      </c>
      <c r="O95" s="7">
        <f>P95*0.5</f>
        <v>1000</v>
      </c>
      <c r="P95" s="36">
        <f>P70+P47</f>
        <v>2000</v>
      </c>
      <c r="R95" s="36">
        <f>T70+T47</f>
        <v>0</v>
      </c>
      <c r="S95" s="36"/>
      <c r="T95" s="36"/>
      <c r="Y95" s="36">
        <f>Y70+Y47</f>
        <v>0</v>
      </c>
      <c r="AC95" s="7">
        <f>AD95</f>
        <v>500</v>
      </c>
      <c r="AD95" s="36">
        <f>AD70+AD47</f>
        <v>500</v>
      </c>
      <c r="AF95" s="36">
        <f>K95+P95+R95+Y95+AD95</f>
        <v>2500</v>
      </c>
    </row>
    <row r="96" spans="1:32" x14ac:dyDescent="0.25">
      <c r="A96" s="26">
        <v>100000002975</v>
      </c>
      <c r="B96" s="29" t="s">
        <v>21</v>
      </c>
      <c r="C96" s="36">
        <f>C74+C73+C72+C71</f>
        <v>2400</v>
      </c>
      <c r="D96" s="36">
        <f t="shared" si="99"/>
        <v>2400</v>
      </c>
      <c r="G96" s="7">
        <f>K96*0.2</f>
        <v>278.2143037974684</v>
      </c>
      <c r="H96" s="7">
        <f>K96*0.2</f>
        <v>278.2143037974684</v>
      </c>
      <c r="J96" s="7">
        <f>K96*0.6</f>
        <v>834.64291139240515</v>
      </c>
      <c r="K96" s="36">
        <f>K74+K73+K72+K71</f>
        <v>1391.071518987342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269.25244481012646</v>
      </c>
      <c r="W96" s="7">
        <f>0.03*SUM(W99:W110)</f>
        <v>154.24017000000001</v>
      </c>
      <c r="X96" s="7">
        <f>0.03*SUM(X99:X110)</f>
        <v>154.24017000000001</v>
      </c>
      <c r="Y96" s="36">
        <f>Y74+Y73+Y72+Y71</f>
        <v>577.73278481012653</v>
      </c>
      <c r="AA96" s="7">
        <f>AD96*0.5</f>
        <v>215.59784810126581</v>
      </c>
      <c r="AB96" s="7">
        <f>AD96*0.25</f>
        <v>107.79892405063291</v>
      </c>
      <c r="AC96" s="7">
        <f>AD96*0.25</f>
        <v>107.79892405063291</v>
      </c>
      <c r="AD96" s="36">
        <f>AD74+AD73+AD72+AD71</f>
        <v>431.19569620253162</v>
      </c>
      <c r="AF96" s="36">
        <f t="shared" ref="AF96:AF110" si="100">K96+P96+R96+Y96+AD96</f>
        <v>2400</v>
      </c>
    </row>
    <row r="97" spans="1:34" x14ac:dyDescent="0.25">
      <c r="A97" s="26">
        <v>100000002980</v>
      </c>
      <c r="B97" s="29" t="s">
        <v>67</v>
      </c>
      <c r="C97" s="36">
        <v>0</v>
      </c>
      <c r="D97" s="36">
        <f t="shared" si="99"/>
        <v>0</v>
      </c>
      <c r="K97" s="36">
        <v>0</v>
      </c>
      <c r="N97" s="7">
        <f>P97*0.5</f>
        <v>0</v>
      </c>
      <c r="O97" s="7">
        <f>P97*0.5</f>
        <v>0</v>
      </c>
      <c r="P97" s="36">
        <v>0</v>
      </c>
      <c r="R97" s="36">
        <v>0</v>
      </c>
      <c r="S97" s="36"/>
      <c r="T97" s="36"/>
      <c r="Y97" s="36">
        <v>0</v>
      </c>
      <c r="AD97" s="36">
        <v>0</v>
      </c>
      <c r="AF97" s="36">
        <f t="shared" si="100"/>
        <v>0</v>
      </c>
    </row>
    <row r="98" spans="1:34" x14ac:dyDescent="0.25">
      <c r="A98" s="26">
        <v>100000002981</v>
      </c>
      <c r="B98" s="29" t="s">
        <v>68</v>
      </c>
      <c r="C98" s="36">
        <v>0</v>
      </c>
      <c r="D98" s="36">
        <f t="shared" si="99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0"/>
        <v>0</v>
      </c>
    </row>
    <row r="99" spans="1:34" x14ac:dyDescent="0.25">
      <c r="A99" s="26">
        <v>100000002982</v>
      </c>
      <c r="B99" s="29" t="s">
        <v>69</v>
      </c>
      <c r="C99" s="36">
        <f>C64+C69</f>
        <v>21684</v>
      </c>
      <c r="D99" s="36">
        <f t="shared" si="99"/>
        <v>21684</v>
      </c>
      <c r="G99" s="7">
        <f>K99</f>
        <v>5826.75</v>
      </c>
      <c r="K99" s="36">
        <f>K64+K69</f>
        <v>5826.75</v>
      </c>
      <c r="N99" s="7">
        <f>P99*0.25</f>
        <v>0</v>
      </c>
      <c r="O99" s="7">
        <f>P99*0.75</f>
        <v>0</v>
      </c>
      <c r="P99" s="36">
        <f>P64+P69</f>
        <v>0</v>
      </c>
      <c r="R99" s="36">
        <f>T64+T69</f>
        <v>0</v>
      </c>
      <c r="S99" s="36"/>
      <c r="T99" s="36"/>
      <c r="V99" s="7">
        <f>Y99*0.4</f>
        <v>3467.4519999999998</v>
      </c>
      <c r="W99" s="7">
        <f>Y99*0.3</f>
        <v>2600.5889999999995</v>
      </c>
      <c r="X99" s="7">
        <f>Y99*0.3</f>
        <v>2600.5889999999995</v>
      </c>
      <c r="Y99" s="36">
        <f>Y64+Y69</f>
        <v>8668.6299999999992</v>
      </c>
      <c r="AC99" s="7">
        <f>AD99</f>
        <v>7188.6200000000008</v>
      </c>
      <c r="AD99" s="36">
        <f>AD64+AD69</f>
        <v>7188.6200000000008</v>
      </c>
      <c r="AF99" s="36">
        <f t="shared" si="100"/>
        <v>21684</v>
      </c>
    </row>
    <row r="100" spans="1:34" x14ac:dyDescent="0.25">
      <c r="A100" s="26">
        <v>100000002989</v>
      </c>
      <c r="B100" s="29" t="s">
        <v>18</v>
      </c>
      <c r="C100" s="36">
        <f>C63</f>
        <v>7700</v>
      </c>
      <c r="D100" s="36">
        <f t="shared" si="99"/>
        <v>7700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1963.5</v>
      </c>
      <c r="W100" s="7">
        <f>Y100*0.35</f>
        <v>2290.75</v>
      </c>
      <c r="X100" s="7">
        <f>Y100*0.35</f>
        <v>2290.75</v>
      </c>
      <c r="Y100" s="36">
        <f>Y63</f>
        <v>6545</v>
      </c>
      <c r="AC100" s="7">
        <f>AD100</f>
        <v>1155</v>
      </c>
      <c r="AD100" s="36">
        <f>AD63</f>
        <v>1155</v>
      </c>
      <c r="AF100" s="36">
        <f t="shared" si="100"/>
        <v>7700</v>
      </c>
      <c r="AH100" s="7">
        <f>12000</f>
        <v>12000</v>
      </c>
    </row>
    <row r="101" spans="1:34" x14ac:dyDescent="0.25">
      <c r="A101" s="26">
        <v>100000006036</v>
      </c>
      <c r="B101" s="29" t="s">
        <v>70</v>
      </c>
      <c r="C101" s="36">
        <f>C67+C46</f>
        <v>4520</v>
      </c>
      <c r="D101" s="36">
        <f t="shared" si="99"/>
        <v>4520</v>
      </c>
      <c r="I101" s="7">
        <f>K101</f>
        <v>3720</v>
      </c>
      <c r="K101" s="36">
        <f>K67+K46</f>
        <v>3720</v>
      </c>
      <c r="M101" s="7">
        <f>P101</f>
        <v>800</v>
      </c>
      <c r="P101" s="36">
        <f>P67+P46</f>
        <v>800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0"/>
        <v>4520</v>
      </c>
      <c r="AH101" s="7">
        <f>AH100/0.78</f>
        <v>15384.615384615385</v>
      </c>
    </row>
    <row r="102" spans="1:34" x14ac:dyDescent="0.25">
      <c r="A102" s="26">
        <v>100000006046</v>
      </c>
      <c r="B102" s="29" t="s">
        <v>71</v>
      </c>
      <c r="C102" s="36">
        <f>C82+C68</f>
        <v>0</v>
      </c>
      <c r="D102" s="36">
        <f t="shared" si="99"/>
        <v>0</v>
      </c>
      <c r="J102" s="7">
        <f>K102</f>
        <v>0</v>
      </c>
      <c r="K102" s="36">
        <f>K82+K68</f>
        <v>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0"/>
        <v>0</v>
      </c>
      <c r="AH102" s="7">
        <f>AH101*0.1</f>
        <v>1538.4615384615386</v>
      </c>
    </row>
    <row r="103" spans="1:34" x14ac:dyDescent="0.25">
      <c r="A103" s="26">
        <v>100000006047</v>
      </c>
      <c r="B103" s="29" t="s">
        <v>72</v>
      </c>
      <c r="C103" s="36">
        <f>C53+C92</f>
        <v>21391</v>
      </c>
      <c r="D103" s="36">
        <f t="shared" si="99"/>
        <v>21390.999999999996</v>
      </c>
      <c r="H103" s="7">
        <f>K103</f>
        <v>0</v>
      </c>
      <c r="K103" s="36">
        <f>K53+K92</f>
        <v>0</v>
      </c>
      <c r="N103" s="7">
        <f>P103*0.5</f>
        <v>10074.769999999999</v>
      </c>
      <c r="O103" s="7">
        <f>P103*0.5</f>
        <v>10074.769999999999</v>
      </c>
      <c r="P103" s="36">
        <f>P53+P92</f>
        <v>20149.539999999997</v>
      </c>
      <c r="R103" s="36">
        <f>T53</f>
        <v>0</v>
      </c>
      <c r="S103" s="36"/>
      <c r="T103" s="36"/>
      <c r="V103" s="7">
        <f>Y103</f>
        <v>1241.46</v>
      </c>
      <c r="Y103" s="36">
        <f>Y53+Y92</f>
        <v>1241.46</v>
      </c>
      <c r="AD103" s="36">
        <f>AD53+AD92</f>
        <v>0</v>
      </c>
      <c r="AF103" s="36">
        <f t="shared" si="100"/>
        <v>21390.999999999996</v>
      </c>
    </row>
    <row r="104" spans="1:34" x14ac:dyDescent="0.25">
      <c r="A104" s="26">
        <v>100000006048</v>
      </c>
      <c r="B104" s="29" t="s">
        <v>73</v>
      </c>
      <c r="C104" s="36">
        <f>C90+C89+C58+C57+C56+C55</f>
        <v>1800</v>
      </c>
      <c r="D104" s="36">
        <f t="shared" si="99"/>
        <v>1800</v>
      </c>
      <c r="J104" s="7">
        <f>K104</f>
        <v>1800</v>
      </c>
      <c r="K104" s="36">
        <f>K90+K89+K58+K57+K56+K55</f>
        <v>1800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0"/>
        <v>1800</v>
      </c>
    </row>
    <row r="105" spans="1:34" x14ac:dyDescent="0.25">
      <c r="A105" s="26">
        <v>100000011633</v>
      </c>
      <c r="B105" s="29" t="s">
        <v>74</v>
      </c>
      <c r="C105" s="36">
        <v>0</v>
      </c>
      <c r="D105" s="36">
        <f t="shared" si="99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0"/>
        <v>0</v>
      </c>
    </row>
    <row r="106" spans="1:34" x14ac:dyDescent="0.25">
      <c r="A106" s="26">
        <v>100000012014</v>
      </c>
      <c r="B106" s="29" t="s">
        <v>75</v>
      </c>
      <c r="C106" s="36">
        <v>0</v>
      </c>
      <c r="D106" s="36">
        <f t="shared" si="99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0"/>
        <v>0</v>
      </c>
    </row>
    <row r="107" spans="1:34" x14ac:dyDescent="0.25">
      <c r="A107" s="26">
        <v>100000017893</v>
      </c>
      <c r="B107" s="29" t="s">
        <v>76</v>
      </c>
      <c r="C107" s="36">
        <f>C65</f>
        <v>15056</v>
      </c>
      <c r="D107" s="36">
        <f t="shared" si="99"/>
        <v>15056.000000000002</v>
      </c>
      <c r="G107" s="7">
        <f>K107*0.25</f>
        <v>3011.2000000000003</v>
      </c>
      <c r="H107" s="7">
        <f>K107*0.75</f>
        <v>9033.6</v>
      </c>
      <c r="K107" s="36">
        <f>K65</f>
        <v>12044.800000000001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3011.2000000000003</v>
      </c>
      <c r="AD107" s="36">
        <f>AD65</f>
        <v>3011.2000000000003</v>
      </c>
      <c r="AF107" s="36">
        <f t="shared" si="100"/>
        <v>15056.000000000002</v>
      </c>
    </row>
    <row r="108" spans="1:34" x14ac:dyDescent="0.25">
      <c r="A108" s="26">
        <v>100000032221</v>
      </c>
      <c r="B108" s="29" t="s">
        <v>77</v>
      </c>
      <c r="C108" s="36">
        <f>C54</f>
        <v>5000</v>
      </c>
      <c r="D108" s="36">
        <f t="shared" si="99"/>
        <v>5000</v>
      </c>
      <c r="G108" s="7">
        <f>K108</f>
        <v>0</v>
      </c>
      <c r="K108" s="36">
        <f>K54</f>
        <v>0</v>
      </c>
      <c r="M108" s="7">
        <f>P108</f>
        <v>4000</v>
      </c>
      <c r="P108" s="36">
        <f>P54</f>
        <v>4000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v>1000</v>
      </c>
      <c r="AD108" s="36">
        <f>AD54</f>
        <v>1000</v>
      </c>
      <c r="AF108" s="36">
        <f t="shared" si="100"/>
        <v>5000</v>
      </c>
    </row>
    <row r="109" spans="1:34" x14ac:dyDescent="0.25">
      <c r="A109" s="26">
        <v>100000017894</v>
      </c>
      <c r="B109" s="29" t="s">
        <v>78</v>
      </c>
      <c r="C109" s="36">
        <f>C83+C66+C49+C51+C52+C48+C75+C76+C84+C85+C86+C87</f>
        <v>15890.7</v>
      </c>
      <c r="D109" s="36">
        <f>K109+P109+T109+Y109+AD109</f>
        <v>15890.7</v>
      </c>
      <c r="K109" s="36">
        <f>K83+K66+K49+K51+K52+K48+K75+K76</f>
        <v>0</v>
      </c>
      <c r="P109" s="36">
        <f>P83+P66+P49+P51+P52+P48+P75+P76</f>
        <v>0</v>
      </c>
      <c r="R109" s="36">
        <f>T35</f>
        <v>6071.4430000000002</v>
      </c>
      <c r="S109" s="36">
        <f>T36</f>
        <v>1491</v>
      </c>
      <c r="T109" s="36">
        <f>T83+T66+T49+T51+T52+T48+T75+T76+T84+T85+T86+T87</f>
        <v>7562.4430000000002</v>
      </c>
      <c r="Y109" s="36">
        <f>Y83+Y66+Y49+Y51+Y52+Y48+Y75+Y76</f>
        <v>0</v>
      </c>
      <c r="AA109" s="7">
        <f>AD35</f>
        <v>6319.2569999999996</v>
      </c>
      <c r="AB109" s="7">
        <f>AD36</f>
        <v>2008.9999999999998</v>
      </c>
      <c r="AD109" s="36">
        <f>AD83+AD66+AD49+AD51+AD52+AD48+AD75+AD76+AD84+AD85+AD86+AD87</f>
        <v>8328.2569999999996</v>
      </c>
      <c r="AF109" s="36">
        <f t="shared" si="100"/>
        <v>14399.7</v>
      </c>
    </row>
    <row r="110" spans="1:34" x14ac:dyDescent="0.25">
      <c r="B110" s="19" t="s">
        <v>84</v>
      </c>
      <c r="C110" s="16">
        <f>C50</f>
        <v>300</v>
      </c>
      <c r="D110" s="36">
        <f t="shared" si="99"/>
        <v>300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300</v>
      </c>
      <c r="AD110" s="16">
        <f>AD50</f>
        <v>0</v>
      </c>
      <c r="AF110" s="36">
        <f t="shared" si="100"/>
        <v>300</v>
      </c>
    </row>
    <row r="111" spans="1:34" x14ac:dyDescent="0.25">
      <c r="B111" s="16" t="s">
        <v>94</v>
      </c>
      <c r="C111" s="16">
        <f>C77+C78+C79+C80</f>
        <v>0</v>
      </c>
      <c r="D111" s="36">
        <f t="shared" si="99"/>
        <v>0</v>
      </c>
      <c r="G111" s="7">
        <f>K111*0.5</f>
        <v>0</v>
      </c>
      <c r="H111" s="7">
        <f>K111*0.5</f>
        <v>0</v>
      </c>
      <c r="K111" s="16">
        <f>K77+K78+K79+K80</f>
        <v>0</v>
      </c>
      <c r="P111" s="16">
        <f>P77+P78+P79+P80</f>
        <v>0</v>
      </c>
    </row>
    <row r="113" spans="22:30" x14ac:dyDescent="0.25">
      <c r="AA113" s="7">
        <f>AA109+AB109</f>
        <v>8328.2569999999996</v>
      </c>
      <c r="AB113" s="7">
        <f>AC115-AB115</f>
        <v>7590</v>
      </c>
      <c r="AD113" s="7">
        <v>12000</v>
      </c>
    </row>
    <row r="114" spans="22:30" x14ac:dyDescent="0.25">
      <c r="AA114" s="7">
        <f>AA113/0.79</f>
        <v>10542.09746835443</v>
      </c>
      <c r="AB114" s="7">
        <v>11000</v>
      </c>
      <c r="AD114" s="7">
        <f>AD113/0.79</f>
        <v>15189.873417721517</v>
      </c>
    </row>
    <row r="115" spans="22:30" x14ac:dyDescent="0.25">
      <c r="AA115" s="7">
        <f>AA114*0.08</f>
        <v>843.36779746835441</v>
      </c>
      <c r="AB115" s="74">
        <f>AB114*0.1</f>
        <v>1100</v>
      </c>
      <c r="AC115" s="7">
        <f>AB114*0.79</f>
        <v>8690</v>
      </c>
      <c r="AD115" s="74">
        <f>AD114*0.03</f>
        <v>455.6962025316455</v>
      </c>
    </row>
    <row r="116" spans="22:30" x14ac:dyDescent="0.25">
      <c r="V116" s="46"/>
      <c r="W116" s="7">
        <f>15000</f>
        <v>15000</v>
      </c>
    </row>
    <row r="117" spans="22:30" x14ac:dyDescent="0.25">
      <c r="W117" s="7">
        <f>W116/0.79</f>
        <v>18987.341772151896</v>
      </c>
      <c r="AA117" s="49"/>
      <c r="AB117" s="49"/>
    </row>
    <row r="118" spans="22:30" x14ac:dyDescent="0.25">
      <c r="W118" s="74">
        <f>W117*0.03</f>
        <v>569.62025316455686</v>
      </c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CE117"/>
  <sheetViews>
    <sheetView topLeftCell="B4" zoomScaleNormal="100" workbookViewId="0">
      <pane xSplit="4" ySplit="4" topLeftCell="BS24" activePane="bottomRight" state="frozen"/>
      <selection activeCell="B4" sqref="B4"/>
      <selection pane="topRight" activeCell="F4" sqref="F4"/>
      <selection pane="bottomLeft" activeCell="B8" sqref="B8"/>
      <selection pane="bottomRight" activeCell="CA40" sqref="CA40:CE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0.33333333333333331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G4" s="7">
        <f>9000/20</f>
        <v>450</v>
      </c>
      <c r="H4" s="7">
        <f>G4/0.78</f>
        <v>576.92307692307691</v>
      </c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550</v>
      </c>
      <c r="N8" s="5">
        <v>700</v>
      </c>
      <c r="O8" s="5">
        <v>700</v>
      </c>
      <c r="P8" s="5">
        <f>SUM(M8:O8)</f>
        <v>1950</v>
      </c>
      <c r="Q8" s="67"/>
      <c r="R8" s="5">
        <f>(4.75*2*24)/0.78</f>
        <v>292.30769230769232</v>
      </c>
      <c r="S8" s="5">
        <f>(3.5*1*24)/0.78</f>
        <v>107.69230769230769</v>
      </c>
      <c r="T8" s="5">
        <f>S8+R8</f>
        <v>400</v>
      </c>
      <c r="U8" s="67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(((240/0.78)*0.08)+240)/0.78</f>
        <v>339.25049309664695</v>
      </c>
      <c r="AB8" s="7">
        <f>(((120/0.78)*0.08)+120)/0.78</f>
        <v>169.62524654832347</v>
      </c>
      <c r="AC8" s="5">
        <v>700</v>
      </c>
      <c r="AD8" s="5">
        <f>SUM(AA8:AC8)</f>
        <v>1208.8757396449705</v>
      </c>
      <c r="AF8" s="1">
        <f>AD8+Y8+R8+P8+K8</f>
        <v>6061.1834319526624</v>
      </c>
    </row>
    <row r="9" spans="2:34" x14ac:dyDescent="0.25">
      <c r="B9" s="19" t="s">
        <v>10</v>
      </c>
      <c r="F9" s="22">
        <v>0.78</v>
      </c>
      <c r="G9" s="22">
        <v>0.79500000000000004</v>
      </c>
      <c r="H9" s="22">
        <v>0.79500000000000004</v>
      </c>
      <c r="I9" s="22">
        <v>0.79500000000000004</v>
      </c>
      <c r="J9" s="22">
        <v>0.79500000000000004</v>
      </c>
      <c r="K9" s="22"/>
      <c r="L9" s="13"/>
      <c r="M9" s="22">
        <v>0.79500000000000004</v>
      </c>
      <c r="N9" s="22">
        <v>0.79500000000000004</v>
      </c>
      <c r="O9" s="22">
        <v>0.79500000000000004</v>
      </c>
      <c r="P9" s="22"/>
      <c r="Q9" s="12"/>
      <c r="R9" s="22">
        <v>0.8</v>
      </c>
      <c r="S9" s="22">
        <v>0.8</v>
      </c>
      <c r="T9" s="22"/>
      <c r="U9" s="12"/>
      <c r="V9" s="22">
        <v>0.79500000000000004</v>
      </c>
      <c r="W9" s="22">
        <v>0.79500000000000004</v>
      </c>
      <c r="X9" s="22">
        <v>0.79500000000000004</v>
      </c>
      <c r="Y9" s="22"/>
      <c r="Z9" s="14"/>
      <c r="AA9" s="22">
        <v>0.8</v>
      </c>
      <c r="AB9" s="22">
        <v>0.8</v>
      </c>
      <c r="AC9" s="22">
        <v>0.79500000000000004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397.5</v>
      </c>
      <c r="H10" s="5">
        <f t="shared" si="0"/>
        <v>397.5</v>
      </c>
      <c r="I10" s="5">
        <f t="shared" si="0"/>
        <v>174.9</v>
      </c>
      <c r="J10" s="5">
        <f t="shared" si="0"/>
        <v>214.65</v>
      </c>
      <c r="K10" s="5">
        <f>SUM(F10:J10)</f>
        <v>1356.15</v>
      </c>
      <c r="L10" s="3"/>
      <c r="M10" s="5">
        <f t="shared" ref="M10:O10" si="1">M8*M9</f>
        <v>437.25</v>
      </c>
      <c r="N10" s="5">
        <f t="shared" si="1"/>
        <v>556.5</v>
      </c>
      <c r="O10" s="5">
        <f t="shared" si="1"/>
        <v>556.5</v>
      </c>
      <c r="P10" s="5">
        <f>SUM(M10:O10)</f>
        <v>1550.25</v>
      </c>
      <c r="Q10" s="67"/>
      <c r="R10" s="5">
        <f t="shared" ref="R10:S10" si="2">R8*R9</f>
        <v>233.84615384615387</v>
      </c>
      <c r="S10" s="5">
        <f t="shared" si="2"/>
        <v>86.15384615384616</v>
      </c>
      <c r="T10" s="5">
        <f>R10+S10</f>
        <v>320</v>
      </c>
      <c r="U10" s="67"/>
      <c r="V10" s="5">
        <f>V8*V9</f>
        <v>286.2</v>
      </c>
      <c r="W10" s="5">
        <f t="shared" ref="W10:X10" si="3">W8*W9</f>
        <v>214.65</v>
      </c>
      <c r="X10" s="5">
        <f t="shared" si="3"/>
        <v>214.65</v>
      </c>
      <c r="Y10" s="5">
        <f>SUM(V10:X10)</f>
        <v>715.5</v>
      </c>
      <c r="Z10" s="4"/>
      <c r="AA10" s="5">
        <f t="shared" ref="AA10:AC10" si="4">AA8*AA9</f>
        <v>271.40039447731755</v>
      </c>
      <c r="AB10" s="5">
        <f t="shared" si="4"/>
        <v>135.70019723865877</v>
      </c>
      <c r="AC10" s="5">
        <f t="shared" si="4"/>
        <v>556.5</v>
      </c>
      <c r="AD10" s="5">
        <f>SUM(AA10:AC10)</f>
        <v>963.60059171597629</v>
      </c>
      <c r="AF10" s="1">
        <f>AD10+Y10+R10+P10+K10</f>
        <v>4819.3467455621303</v>
      </c>
    </row>
    <row r="11" spans="2:34" x14ac:dyDescent="0.25">
      <c r="B11" s="19" t="s">
        <v>12</v>
      </c>
      <c r="F11" s="5">
        <v>30</v>
      </c>
      <c r="G11" s="5">
        <v>30</v>
      </c>
      <c r="H11" s="5">
        <v>30</v>
      </c>
      <c r="I11" s="5">
        <v>30</v>
      </c>
      <c r="J11" s="5">
        <v>30</v>
      </c>
      <c r="K11" s="5"/>
      <c r="L11" s="3"/>
      <c r="M11" s="5">
        <v>30</v>
      </c>
      <c r="N11" s="5">
        <v>30</v>
      </c>
      <c r="O11" s="5">
        <v>30</v>
      </c>
      <c r="P11" s="5"/>
      <c r="Q11" s="67"/>
      <c r="R11" s="5">
        <v>30</v>
      </c>
      <c r="S11" s="5">
        <v>30</v>
      </c>
      <c r="T11" s="5"/>
      <c r="U11" s="67"/>
      <c r="V11" s="5">
        <v>30</v>
      </c>
      <c r="W11" s="5">
        <v>30</v>
      </c>
      <c r="X11" s="5">
        <v>30</v>
      </c>
      <c r="Y11" s="5"/>
      <c r="Z11" s="4"/>
      <c r="AA11" s="5">
        <v>30</v>
      </c>
      <c r="AB11" s="5">
        <v>30</v>
      </c>
      <c r="AC11" s="5">
        <v>30</v>
      </c>
      <c r="AD11" s="5"/>
      <c r="AF11" s="1"/>
    </row>
    <row r="12" spans="2:34" x14ac:dyDescent="0.25">
      <c r="B12" s="19" t="s">
        <v>13</v>
      </c>
      <c r="F12" s="39">
        <v>3.5</v>
      </c>
      <c r="G12" s="39">
        <v>3.5</v>
      </c>
      <c r="H12" s="39">
        <v>3.5</v>
      </c>
      <c r="I12" s="39">
        <v>3.5</v>
      </c>
      <c r="J12" s="39">
        <v>3.5</v>
      </c>
      <c r="K12" s="5"/>
      <c r="L12" s="3"/>
      <c r="M12" s="39">
        <v>3.5</v>
      </c>
      <c r="N12" s="39">
        <v>3.5</v>
      </c>
      <c r="O12" s="39">
        <v>3.5</v>
      </c>
      <c r="P12" s="5"/>
      <c r="Q12" s="67"/>
      <c r="R12" s="39">
        <v>0</v>
      </c>
      <c r="S12" s="39">
        <v>0</v>
      </c>
      <c r="T12" s="39"/>
      <c r="U12" s="67"/>
      <c r="V12" s="39">
        <v>3.5</v>
      </c>
      <c r="W12" s="39">
        <v>3.5</v>
      </c>
      <c r="X12" s="39">
        <v>3.5</v>
      </c>
      <c r="Y12" s="5"/>
      <c r="AA12" s="39">
        <v>0</v>
      </c>
      <c r="AB12" s="39">
        <v>0</v>
      </c>
      <c r="AC12" s="39">
        <v>3.5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f>2+3</f>
        <v>5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24.75</v>
      </c>
      <c r="G15" s="40">
        <f t="shared" ref="G15:J15" si="5">G11-G12-G14-G13</f>
        <v>24.75</v>
      </c>
      <c r="H15" s="40">
        <f t="shared" si="5"/>
        <v>24.75</v>
      </c>
      <c r="I15" s="40">
        <f t="shared" si="5"/>
        <v>24.75</v>
      </c>
      <c r="J15" s="40">
        <f t="shared" si="5"/>
        <v>24.75</v>
      </c>
      <c r="K15" s="1"/>
      <c r="M15" s="40">
        <f>M11-M12-M14-M13</f>
        <v>24.75</v>
      </c>
      <c r="N15" s="40">
        <f t="shared" ref="N15:O15" si="6">N11-N12-N14-N13</f>
        <v>24.75</v>
      </c>
      <c r="O15" s="40">
        <f t="shared" si="6"/>
        <v>24.75</v>
      </c>
      <c r="P15" s="1"/>
      <c r="R15" s="40">
        <f>R11-R12-R14-R13</f>
        <v>27.75</v>
      </c>
      <c r="S15" s="40">
        <f>S11-S12-S14-S13</f>
        <v>24.75</v>
      </c>
      <c r="T15" s="40"/>
      <c r="V15" s="40">
        <f t="shared" ref="V15:X15" si="7">V11-V12-V14-V13</f>
        <v>24.75</v>
      </c>
      <c r="W15" s="40">
        <f t="shared" si="7"/>
        <v>24.75</v>
      </c>
      <c r="X15" s="40">
        <f t="shared" si="7"/>
        <v>24.75</v>
      </c>
      <c r="Y15" s="1"/>
      <c r="AA15" s="40">
        <f t="shared" ref="AA15:AC15" si="8">AA11-AA12-AA14-AA13</f>
        <v>27.75</v>
      </c>
      <c r="AB15" s="40">
        <f t="shared" si="8"/>
        <v>27.75</v>
      </c>
      <c r="AC15" s="40">
        <f t="shared" si="8"/>
        <v>25.25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3610.0349999999994</v>
      </c>
      <c r="G17" s="1">
        <f t="shared" ref="G17:J17" si="9">G16*G15*G10</f>
        <v>8854.3125</v>
      </c>
      <c r="H17" s="1">
        <f t="shared" si="9"/>
        <v>8854.3125</v>
      </c>
      <c r="I17" s="1">
        <f t="shared" si="9"/>
        <v>3895.8975000000005</v>
      </c>
      <c r="J17" s="1">
        <f t="shared" si="9"/>
        <v>4781.3287500000006</v>
      </c>
      <c r="K17" s="5">
        <f>SUM(F17:J17)</f>
        <v>29995.88625</v>
      </c>
      <c r="M17" s="1">
        <f t="shared" ref="M17:O17" si="10">M16*M15*M10</f>
        <v>9739.7437500000015</v>
      </c>
      <c r="N17" s="1">
        <f t="shared" si="10"/>
        <v>12396.0375</v>
      </c>
      <c r="O17" s="1">
        <f t="shared" si="10"/>
        <v>12396.0375</v>
      </c>
      <c r="P17" s="5">
        <f>SUM(M17:O17)</f>
        <v>34531.818749999999</v>
      </c>
      <c r="R17" s="1">
        <f>R16*R15*R10</f>
        <v>6164.7692307692305</v>
      </c>
      <c r="S17" s="1">
        <f>S16*S15*S10</f>
        <v>2025.6923076923078</v>
      </c>
      <c r="T17" s="1">
        <f>R17+S17</f>
        <v>8190.4615384615381</v>
      </c>
      <c r="V17" s="1">
        <f>V16*V15*V10</f>
        <v>6729.2774999999992</v>
      </c>
      <c r="W17" s="1">
        <f t="shared" ref="W17:X17" si="11">W16*W15*W10</f>
        <v>5046.9581250000001</v>
      </c>
      <c r="X17" s="1">
        <f t="shared" si="11"/>
        <v>5046.9581250000001</v>
      </c>
      <c r="Y17" s="5">
        <f>SUM(V17:X17)</f>
        <v>16823.193749999999</v>
      </c>
      <c r="AA17" s="70">
        <f>AA16*AA15*AA10</f>
        <v>6778.2248520710064</v>
      </c>
      <c r="AB17" s="70">
        <f>AB16*AB15*AB10</f>
        <v>3389.1124260355032</v>
      </c>
      <c r="AC17" s="1">
        <f t="shared" ref="AC17" si="12">AC16*AC15*AC10</f>
        <v>12646.462500000001</v>
      </c>
      <c r="AD17" s="5">
        <f>SUM(Z17:AC17)</f>
        <v>22813.799778106513</v>
      </c>
      <c r="AF17" s="1">
        <f>AD17+Y17+T17+P17+K17</f>
        <v>112355.16006656805</v>
      </c>
      <c r="AI17" s="46"/>
    </row>
    <row r="19" spans="2:83" x14ac:dyDescent="0.25">
      <c r="B19" s="19" t="s">
        <v>18</v>
      </c>
      <c r="C19" s="16">
        <f>C27+C29+C30+C31+C34+C28</f>
        <v>73550</v>
      </c>
      <c r="D19" s="16">
        <f>D27+D29+D30+D31+D34+D28</f>
        <v>73550</v>
      </c>
      <c r="F19" s="1">
        <f>F17</f>
        <v>3610.0349999999994</v>
      </c>
      <c r="G19" s="1">
        <f t="shared" ref="G19:H19" si="13">G17</f>
        <v>8854.3125</v>
      </c>
      <c r="H19" s="1">
        <f t="shared" si="13"/>
        <v>8854.3125</v>
      </c>
      <c r="I19" s="1"/>
      <c r="J19" s="1"/>
      <c r="K19" s="5">
        <f t="shared" ref="K19:K25" si="14">SUM(F19:J19)</f>
        <v>21318.66</v>
      </c>
      <c r="M19" s="1">
        <f>M17*0.5</f>
        <v>4869.8718750000007</v>
      </c>
      <c r="N19" s="1">
        <f>N17*0.8</f>
        <v>9916.8300000000017</v>
      </c>
      <c r="O19" s="1">
        <f>O17</f>
        <v>12396.0375</v>
      </c>
      <c r="P19" s="5">
        <f t="shared" ref="P19:P25" si="15">SUM(M19:O19)</f>
        <v>27182.739375000005</v>
      </c>
      <c r="R19" s="1"/>
      <c r="S19" s="1"/>
      <c r="T19" s="1">
        <f t="shared" ref="T19:T24" si="16">R19+S19</f>
        <v>0</v>
      </c>
      <c r="V19" s="1">
        <f>V17-V23</f>
        <v>6221.4074999999993</v>
      </c>
      <c r="W19" s="1">
        <f t="shared" ref="W19:X19" si="17">W17-W23</f>
        <v>4666.055625</v>
      </c>
      <c r="X19" s="1">
        <f t="shared" si="17"/>
        <v>4666.055625</v>
      </c>
      <c r="Y19" s="5">
        <f t="shared" ref="Y19:Y25" si="18">SUM(V19:X19)</f>
        <v>15553.518749999999</v>
      </c>
      <c r="AA19" s="1"/>
      <c r="AB19" s="1"/>
      <c r="AC19" s="1">
        <f>AC17*0.95</f>
        <v>12014.139375000001</v>
      </c>
      <c r="AD19" s="5">
        <f t="shared" ref="AD19:AD25" si="19">SUM(Z19:AC19)</f>
        <v>12014.139375000001</v>
      </c>
      <c r="AF19" s="1">
        <f t="shared" ref="AF19:AF25" si="20">AD19+Y19+R19+P19+K19</f>
        <v>76069.05750000001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J17*0.42</f>
        <v>2008.1580750000003</v>
      </c>
      <c r="K20" s="5">
        <f t="shared" si="14"/>
        <v>2008.1580750000003</v>
      </c>
      <c r="M20" s="1"/>
      <c r="N20" s="1"/>
      <c r="O20" s="1"/>
      <c r="P20" s="5">
        <f t="shared" si="15"/>
        <v>0</v>
      </c>
      <c r="R20" s="1"/>
      <c r="S20" s="1"/>
      <c r="T20" s="1">
        <f t="shared" si="16"/>
        <v>0</v>
      </c>
      <c r="V20" s="1"/>
      <c r="W20" s="1"/>
      <c r="X20" s="1"/>
      <c r="Y20" s="5">
        <f t="shared" si="18"/>
        <v>0</v>
      </c>
      <c r="AA20" s="1"/>
      <c r="AB20" s="1"/>
      <c r="AC20" s="1"/>
      <c r="AD20" s="5"/>
      <c r="AF20" s="1">
        <f t="shared" si="20"/>
        <v>2008.1580750000003</v>
      </c>
    </row>
    <row r="21" spans="2:83" x14ac:dyDescent="0.25">
      <c r="B21" s="19" t="s">
        <v>19</v>
      </c>
      <c r="C21" s="16">
        <f>C33</f>
        <v>4500</v>
      </c>
      <c r="D21" s="16">
        <f>D33</f>
        <v>4500</v>
      </c>
      <c r="F21" s="1"/>
      <c r="G21" s="1"/>
      <c r="H21" s="1"/>
      <c r="I21" s="1"/>
      <c r="J21" s="1"/>
      <c r="K21" s="5">
        <f t="shared" si="14"/>
        <v>0</v>
      </c>
      <c r="M21" s="1">
        <f>M17*0.5</f>
        <v>4869.8718750000007</v>
      </c>
      <c r="N21" s="1">
        <f>N17*0.2</f>
        <v>2479.2075000000004</v>
      </c>
      <c r="O21" s="1"/>
      <c r="P21" s="5">
        <f t="shared" si="15"/>
        <v>7349.0793750000012</v>
      </c>
      <c r="R21" s="1"/>
      <c r="S21" s="1"/>
      <c r="T21" s="1">
        <f t="shared" si="16"/>
        <v>0</v>
      </c>
      <c r="V21" s="1"/>
      <c r="W21" s="1"/>
      <c r="X21" s="1"/>
      <c r="Y21" s="5">
        <f t="shared" si="18"/>
        <v>0</v>
      </c>
      <c r="AA21" s="1"/>
      <c r="AB21" s="1"/>
      <c r="AC21" s="1"/>
      <c r="AD21" s="5">
        <f t="shared" si="19"/>
        <v>0</v>
      </c>
      <c r="AF21" s="1">
        <f t="shared" si="20"/>
        <v>7349.0793750000012</v>
      </c>
    </row>
    <row r="22" spans="2:83" x14ac:dyDescent="0.25">
      <c r="B22" s="19" t="s">
        <v>20</v>
      </c>
      <c r="C22" s="16">
        <f>C32</f>
        <v>4500</v>
      </c>
      <c r="D22" s="16">
        <f>D32</f>
        <v>4500</v>
      </c>
      <c r="F22" s="1"/>
      <c r="G22" s="1"/>
      <c r="H22" s="1"/>
      <c r="I22" s="1">
        <f>I17</f>
        <v>3895.8975000000005</v>
      </c>
      <c r="J22" s="1"/>
      <c r="K22" s="5">
        <f t="shared" si="14"/>
        <v>3895.8975000000005</v>
      </c>
      <c r="M22" s="1"/>
      <c r="N22" s="1"/>
      <c r="O22" s="1"/>
      <c r="P22" s="5">
        <f t="shared" si="15"/>
        <v>0</v>
      </c>
      <c r="R22" s="1"/>
      <c r="S22" s="1"/>
      <c r="T22" s="1">
        <f t="shared" si="16"/>
        <v>0</v>
      </c>
      <c r="V22" s="1"/>
      <c r="W22" s="1"/>
      <c r="X22" s="1"/>
      <c r="Y22" s="5">
        <f t="shared" si="18"/>
        <v>0</v>
      </c>
      <c r="AA22" s="1"/>
      <c r="AB22" s="1"/>
      <c r="AC22" s="1"/>
      <c r="AD22" s="5">
        <f t="shared" si="19"/>
        <v>0</v>
      </c>
      <c r="AF22" s="1">
        <f t="shared" si="20"/>
        <v>3895.8975000000005</v>
      </c>
    </row>
    <row r="23" spans="2:83" x14ac:dyDescent="0.25">
      <c r="B23" s="19" t="s">
        <v>21</v>
      </c>
      <c r="C23" s="16">
        <f>C37+C38+C39</f>
        <v>4198</v>
      </c>
      <c r="D23" s="16">
        <f>D37+D38+D39</f>
        <v>4198</v>
      </c>
      <c r="F23" s="1"/>
      <c r="G23" s="1"/>
      <c r="H23" s="1"/>
      <c r="I23" s="1"/>
      <c r="J23" s="1">
        <f>J17*0.58</f>
        <v>2773.1706750000003</v>
      </c>
      <c r="K23" s="5">
        <f t="shared" si="14"/>
        <v>2773.1706750000003</v>
      </c>
      <c r="M23" s="1"/>
      <c r="N23" s="1"/>
      <c r="O23" s="1"/>
      <c r="P23" s="5">
        <f t="shared" si="15"/>
        <v>0</v>
      </c>
      <c r="R23" s="1"/>
      <c r="S23" s="1"/>
      <c r="T23" s="1">
        <f t="shared" si="16"/>
        <v>0</v>
      </c>
      <c r="V23" s="1">
        <f>(V17/V9)*0.06</f>
        <v>507.86999999999989</v>
      </c>
      <c r="W23" s="1">
        <f t="shared" ref="W23:X23" si="21">(W17/W9)*0.06</f>
        <v>380.90249999999997</v>
      </c>
      <c r="X23" s="1">
        <f t="shared" si="21"/>
        <v>380.90249999999997</v>
      </c>
      <c r="Y23" s="5">
        <f t="shared" si="18"/>
        <v>1269.6749999999997</v>
      </c>
      <c r="AA23" s="1">
        <f>AA17*0.08</f>
        <v>542.25798816568056</v>
      </c>
      <c r="AB23" s="1">
        <f>AB17*0.08</f>
        <v>271.12899408284028</v>
      </c>
      <c r="AC23" s="1">
        <f>AC17*0.05</f>
        <v>632.32312500000012</v>
      </c>
      <c r="AD23" s="5">
        <f t="shared" si="19"/>
        <v>1445.7101072485209</v>
      </c>
      <c r="AF23" s="1">
        <f t="shared" si="20"/>
        <v>5488.5557822485207</v>
      </c>
    </row>
    <row r="24" spans="2:83" x14ac:dyDescent="0.25">
      <c r="B24" s="19" t="s">
        <v>91</v>
      </c>
      <c r="C24" s="16">
        <f>C35</f>
        <v>12477.5</v>
      </c>
      <c r="D24" s="16">
        <f>D35</f>
        <v>12477.5</v>
      </c>
      <c r="F24" s="1"/>
      <c r="G24" s="1"/>
      <c r="H24" s="1"/>
      <c r="I24" s="1"/>
      <c r="J24" s="1"/>
      <c r="K24" s="5">
        <f t="shared" si="14"/>
        <v>0</v>
      </c>
      <c r="M24" s="1"/>
      <c r="N24" s="1"/>
      <c r="O24" s="1"/>
      <c r="P24" s="5">
        <f t="shared" si="15"/>
        <v>0</v>
      </c>
      <c r="R24" s="1">
        <f>R17</f>
        <v>6164.7692307692305</v>
      </c>
      <c r="S24" s="1"/>
      <c r="T24" s="1">
        <f t="shared" si="16"/>
        <v>6164.7692307692305</v>
      </c>
      <c r="V24" s="1"/>
      <c r="W24" s="1"/>
      <c r="X24" s="1"/>
      <c r="Y24" s="5">
        <f t="shared" si="18"/>
        <v>0</v>
      </c>
      <c r="AA24" s="1">
        <f>AA17-AA23</f>
        <v>6235.9668639053261</v>
      </c>
      <c r="AB24" s="1"/>
      <c r="AC24" s="1"/>
      <c r="AD24" s="5">
        <f t="shared" si="19"/>
        <v>6235.9668639053261</v>
      </c>
      <c r="AF24" s="1">
        <f t="shared" si="20"/>
        <v>12400.736094674558</v>
      </c>
    </row>
    <row r="25" spans="2:83" x14ac:dyDescent="0.25">
      <c r="B25" s="19" t="s">
        <v>126</v>
      </c>
      <c r="C25" s="16">
        <f>C36</f>
        <v>3700</v>
      </c>
      <c r="D25" s="16">
        <f>D36</f>
        <v>3700</v>
      </c>
      <c r="F25" s="1"/>
      <c r="G25" s="1"/>
      <c r="H25" s="1"/>
      <c r="I25" s="1"/>
      <c r="J25" s="1"/>
      <c r="K25" s="5">
        <f t="shared" si="14"/>
        <v>0</v>
      </c>
      <c r="M25" s="1"/>
      <c r="N25" s="1"/>
      <c r="O25" s="1"/>
      <c r="P25" s="5">
        <f t="shared" si="15"/>
        <v>0</v>
      </c>
      <c r="R25" s="1"/>
      <c r="S25" s="1">
        <f t="shared" ref="S25" si="22">S17</f>
        <v>2025.6923076923078</v>
      </c>
      <c r="T25" s="1">
        <f>R25+S25</f>
        <v>2025.6923076923078</v>
      </c>
      <c r="V25" s="1"/>
      <c r="W25" s="1"/>
      <c r="X25" s="1"/>
      <c r="Y25" s="5">
        <f t="shared" si="18"/>
        <v>0</v>
      </c>
      <c r="AA25" s="1"/>
      <c r="AB25" s="1">
        <f>AB17-AB23</f>
        <v>3117.9834319526631</v>
      </c>
      <c r="AC25" s="1"/>
      <c r="AD25" s="5">
        <f t="shared" si="19"/>
        <v>3117.9834319526631</v>
      </c>
      <c r="AF25" s="1">
        <f t="shared" si="20"/>
        <v>3117.9834319526631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20300</v>
      </c>
      <c r="D27" s="16">
        <f>D64+D68+D69+D82+D91</f>
        <v>20300</v>
      </c>
      <c r="E27" s="16">
        <f t="shared" ref="E27:AD27" si="23">E64+E68+E69+E82+E91</f>
        <v>0</v>
      </c>
      <c r="F27" s="16">
        <f t="shared" si="23"/>
        <v>0</v>
      </c>
      <c r="G27" s="16">
        <f t="shared" si="23"/>
        <v>0</v>
      </c>
      <c r="H27" s="16">
        <f t="shared" si="23"/>
        <v>0</v>
      </c>
      <c r="I27" s="16">
        <f t="shared" si="23"/>
        <v>0</v>
      </c>
      <c r="J27" s="16">
        <f t="shared" si="23"/>
        <v>0</v>
      </c>
      <c r="K27" s="16">
        <f t="shared" si="23"/>
        <v>7950</v>
      </c>
      <c r="L27" s="16">
        <f t="shared" si="23"/>
        <v>0</v>
      </c>
      <c r="M27" s="16">
        <f t="shared" si="23"/>
        <v>0</v>
      </c>
      <c r="N27" s="16">
        <f t="shared" si="23"/>
        <v>0</v>
      </c>
      <c r="O27" s="16">
        <f t="shared" si="23"/>
        <v>0</v>
      </c>
      <c r="P27" s="16">
        <f t="shared" si="23"/>
        <v>0</v>
      </c>
      <c r="Q27" s="16">
        <f t="shared" si="23"/>
        <v>0</v>
      </c>
      <c r="R27" s="16">
        <f t="shared" si="23"/>
        <v>0</v>
      </c>
      <c r="S27" s="16">
        <f t="shared" si="23"/>
        <v>0</v>
      </c>
      <c r="T27" s="16">
        <f t="shared" si="23"/>
        <v>0</v>
      </c>
      <c r="U27" s="16">
        <f t="shared" si="23"/>
        <v>0</v>
      </c>
      <c r="V27" s="16">
        <f t="shared" si="23"/>
        <v>0</v>
      </c>
      <c r="W27" s="16">
        <f t="shared" si="23"/>
        <v>0</v>
      </c>
      <c r="X27" s="16">
        <f t="shared" si="23"/>
        <v>0</v>
      </c>
      <c r="Y27" s="16">
        <f t="shared" si="23"/>
        <v>7030</v>
      </c>
      <c r="Z27" s="16">
        <f t="shared" si="23"/>
        <v>0</v>
      </c>
      <c r="AA27" s="16">
        <f t="shared" si="23"/>
        <v>0</v>
      </c>
      <c r="AB27" s="16">
        <f t="shared" si="23"/>
        <v>0</v>
      </c>
      <c r="AC27" s="16">
        <f t="shared" si="23"/>
        <v>0</v>
      </c>
      <c r="AD27" s="16">
        <f t="shared" si="23"/>
        <v>5320.0000000000009</v>
      </c>
      <c r="AH27" s="59" t="str">
        <f>B27</f>
        <v>Mix and Bake</v>
      </c>
      <c r="AI27" s="1">
        <f>K27</f>
        <v>7950</v>
      </c>
      <c r="AJ27" s="1">
        <f>P27</f>
        <v>0</v>
      </c>
      <c r="AK27" s="1">
        <f t="shared" ref="AK27:AK39" si="24">T27</f>
        <v>0</v>
      </c>
      <c r="AL27" s="1">
        <f>Y27</f>
        <v>7030</v>
      </c>
      <c r="AM27" s="1">
        <f>AD27</f>
        <v>5320.0000000000009</v>
      </c>
      <c r="AN27" s="1">
        <f>SUM(AI27:AM27)</f>
        <v>20300</v>
      </c>
      <c r="AP27" s="7">
        <f>AI27/0.78</f>
        <v>10192.307692307691</v>
      </c>
      <c r="AQ27" s="7">
        <f>AJ27/0.78</f>
        <v>0</v>
      </c>
      <c r="AR27" s="7">
        <f>AK27/0.78</f>
        <v>0</v>
      </c>
      <c r="AS27" s="7">
        <f>AL27/0.78</f>
        <v>9012.8205128205118</v>
      </c>
      <c r="AT27" s="7">
        <f>AM27/0.78</f>
        <v>6820.5128205128212</v>
      </c>
      <c r="AU27" s="7">
        <f>SUM(AP27:AT27)</f>
        <v>26025.641025641024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2548.0769230769229</v>
      </c>
      <c r="BD27" s="7">
        <f>AX27*AQ27</f>
        <v>0</v>
      </c>
      <c r="BE27" s="7">
        <f>AY27*AR27</f>
        <v>0</v>
      </c>
      <c r="BF27" s="7">
        <f>AZ27*AS27</f>
        <v>2253.2051282051279</v>
      </c>
      <c r="BG27" s="7">
        <f>BA27*AT27</f>
        <v>1705.1282051282053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7644.2307692307686</v>
      </c>
      <c r="BP27" s="7">
        <f>BJ27*AQ27</f>
        <v>0</v>
      </c>
      <c r="BQ27" s="7">
        <f>BK27*AR27</f>
        <v>0</v>
      </c>
      <c r="BR27" s="7">
        <f>BL27*AS27</f>
        <v>6759.6153846153838</v>
      </c>
      <c r="BS27" s="7">
        <f>BM27*AT27</f>
        <v>5115.3846153846162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7500</v>
      </c>
      <c r="D28" s="16">
        <f>D63</f>
        <v>7500</v>
      </c>
      <c r="F28" s="16">
        <f t="shared" ref="F28:K28" si="25">F63</f>
        <v>0</v>
      </c>
      <c r="G28" s="16">
        <f t="shared" si="25"/>
        <v>0</v>
      </c>
      <c r="H28" s="16">
        <f t="shared" si="25"/>
        <v>0</v>
      </c>
      <c r="I28" s="16">
        <f t="shared" si="25"/>
        <v>0</v>
      </c>
      <c r="J28" s="16">
        <f t="shared" si="25"/>
        <v>0</v>
      </c>
      <c r="K28" s="16">
        <f t="shared" si="25"/>
        <v>0</v>
      </c>
      <c r="M28" s="16">
        <f t="shared" ref="M28:P28" si="26">M63</f>
        <v>0</v>
      </c>
      <c r="N28" s="16">
        <f t="shared" si="26"/>
        <v>0</v>
      </c>
      <c r="O28" s="16">
        <f t="shared" si="26"/>
        <v>0</v>
      </c>
      <c r="P28" s="16">
        <f t="shared" si="26"/>
        <v>0</v>
      </c>
      <c r="S28" s="16"/>
      <c r="T28" s="16">
        <f>T63</f>
        <v>0</v>
      </c>
      <c r="V28" s="16">
        <f t="shared" ref="V28:Y28" si="27">V63</f>
        <v>0</v>
      </c>
      <c r="W28" s="16">
        <f t="shared" si="27"/>
        <v>0</v>
      </c>
      <c r="X28" s="16">
        <f t="shared" si="27"/>
        <v>0</v>
      </c>
      <c r="Y28" s="16">
        <f t="shared" si="27"/>
        <v>6375</v>
      </c>
      <c r="AA28" s="16">
        <f t="shared" ref="AA28:AD28" si="28">AA63</f>
        <v>0</v>
      </c>
      <c r="AB28" s="16">
        <f t="shared" si="28"/>
        <v>0</v>
      </c>
      <c r="AC28" s="16">
        <f t="shared" si="28"/>
        <v>0</v>
      </c>
      <c r="AD28" s="16">
        <f t="shared" si="28"/>
        <v>1125</v>
      </c>
      <c r="AH28" s="59" t="str">
        <f>B28</f>
        <v>Mix and Bake [SE]</v>
      </c>
      <c r="AI28" s="1">
        <f t="shared" ref="AI28:AI39" si="29">K28</f>
        <v>0</v>
      </c>
      <c r="AJ28" s="1">
        <f t="shared" ref="AJ28:AJ39" si="30">P28</f>
        <v>0</v>
      </c>
      <c r="AK28" s="1">
        <f t="shared" si="24"/>
        <v>0</v>
      </c>
      <c r="AL28" s="1">
        <f t="shared" ref="AL28:AL39" si="31">Y28</f>
        <v>6375</v>
      </c>
      <c r="AM28" s="1">
        <f t="shared" ref="AM28:AM39" si="32">AD28</f>
        <v>1125</v>
      </c>
      <c r="AN28" s="1">
        <f t="shared" ref="AN28:AN39" si="33">SUM(AI28:AM28)</f>
        <v>7500</v>
      </c>
      <c r="AP28" s="7">
        <f t="shared" ref="AP28:AU40" si="34">AI28/0.78</f>
        <v>0</v>
      </c>
      <c r="AQ28" s="7">
        <f t="shared" si="34"/>
        <v>0</v>
      </c>
      <c r="AR28" s="7">
        <f t="shared" si="34"/>
        <v>0</v>
      </c>
      <c r="AS28" s="7">
        <f t="shared" si="34"/>
        <v>8173.0769230769229</v>
      </c>
      <c r="AT28" s="7">
        <f t="shared" si="34"/>
        <v>1442.3076923076922</v>
      </c>
      <c r="AU28" s="7">
        <f t="shared" ref="AU28:AU39" si="35">SUM(AP28:AT28)</f>
        <v>9615.3846153846152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G39" si="36">AW28*AP28</f>
        <v>0</v>
      </c>
      <c r="BD28" s="7">
        <f t="shared" si="36"/>
        <v>0</v>
      </c>
      <c r="BE28" s="7">
        <f t="shared" si="36"/>
        <v>0</v>
      </c>
      <c r="BF28" s="7">
        <f t="shared" si="36"/>
        <v>2451.9230769230767</v>
      </c>
      <c r="BG28" s="7">
        <f t="shared" si="36"/>
        <v>432.69230769230762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:BS39" si="37">BJ28*AQ28</f>
        <v>0</v>
      </c>
      <c r="BQ28" s="7">
        <f t="shared" si="37"/>
        <v>0</v>
      </c>
      <c r="BR28" s="7">
        <f t="shared" si="37"/>
        <v>5721.1538461538457</v>
      </c>
      <c r="BS28" s="7">
        <f t="shared" si="37"/>
        <v>1009.6153846153844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38">BV28*AQ28</f>
        <v>0</v>
      </c>
      <c r="CC28" s="7">
        <f t="shared" si="38"/>
        <v>0</v>
      </c>
      <c r="CD28" s="7">
        <f t="shared" si="38"/>
        <v>0</v>
      </c>
      <c r="CE28" s="7">
        <f t="shared" si="38"/>
        <v>0</v>
      </c>
    </row>
    <row r="29" spans="2:83" x14ac:dyDescent="0.25">
      <c r="B29" s="16" t="s">
        <v>87</v>
      </c>
      <c r="C29" s="16">
        <f>C53+C92</f>
        <v>21000</v>
      </c>
      <c r="D29" s="16">
        <f>D53+D92</f>
        <v>21000</v>
      </c>
      <c r="F29" s="16">
        <f t="shared" ref="F29:K30" si="39">F53</f>
        <v>0</v>
      </c>
      <c r="G29" s="16">
        <f t="shared" si="39"/>
        <v>0</v>
      </c>
      <c r="H29" s="16">
        <f t="shared" si="39"/>
        <v>0</v>
      </c>
      <c r="I29" s="16">
        <f t="shared" si="39"/>
        <v>0</v>
      </c>
      <c r="J29" s="16">
        <f t="shared" si="39"/>
        <v>0</v>
      </c>
      <c r="K29" s="16">
        <f>K53+K92</f>
        <v>0</v>
      </c>
      <c r="M29" s="16">
        <f t="shared" ref="M29:P30" si="40">M53</f>
        <v>0</v>
      </c>
      <c r="N29" s="16">
        <f t="shared" si="40"/>
        <v>0</v>
      </c>
      <c r="O29" s="16">
        <f t="shared" si="40"/>
        <v>0</v>
      </c>
      <c r="P29" s="16">
        <f>P53+P92</f>
        <v>19110</v>
      </c>
      <c r="S29" s="16"/>
      <c r="T29" s="16">
        <f>T53+T92</f>
        <v>0</v>
      </c>
      <c r="V29" s="16">
        <f t="shared" ref="V29:Y30" si="41">V53</f>
        <v>0</v>
      </c>
      <c r="W29" s="16">
        <f t="shared" si="41"/>
        <v>0</v>
      </c>
      <c r="X29" s="16">
        <f t="shared" si="41"/>
        <v>0</v>
      </c>
      <c r="Y29" s="16">
        <f>Y53+Y92</f>
        <v>1890</v>
      </c>
      <c r="AA29" s="16">
        <f t="shared" ref="AA29:AD30" si="42">AA53</f>
        <v>0</v>
      </c>
      <c r="AB29" s="16">
        <f t="shared" si="42"/>
        <v>0</v>
      </c>
      <c r="AC29" s="16">
        <f t="shared" si="42"/>
        <v>0</v>
      </c>
      <c r="AD29" s="16">
        <f>AD53+AD92</f>
        <v>0</v>
      </c>
      <c r="AH29" s="59" t="str">
        <f t="shared" ref="AH29:AH39" si="43">B29</f>
        <v>MGF</v>
      </c>
      <c r="AI29" s="1">
        <f t="shared" si="29"/>
        <v>0</v>
      </c>
      <c r="AJ29" s="1">
        <f t="shared" si="30"/>
        <v>19110</v>
      </c>
      <c r="AK29" s="1">
        <f t="shared" si="24"/>
        <v>0</v>
      </c>
      <c r="AL29" s="1">
        <f t="shared" si="31"/>
        <v>1890</v>
      </c>
      <c r="AM29" s="1">
        <f t="shared" si="32"/>
        <v>0</v>
      </c>
      <c r="AN29" s="1">
        <f t="shared" si="33"/>
        <v>21000</v>
      </c>
      <c r="AP29" s="7">
        <f t="shared" si="34"/>
        <v>0</v>
      </c>
      <c r="AQ29" s="7">
        <f t="shared" si="34"/>
        <v>24500</v>
      </c>
      <c r="AR29" s="7">
        <f t="shared" si="34"/>
        <v>0</v>
      </c>
      <c r="AS29" s="7">
        <f t="shared" si="34"/>
        <v>2423.0769230769229</v>
      </c>
      <c r="AT29" s="7">
        <f t="shared" si="34"/>
        <v>0</v>
      </c>
      <c r="AU29" s="7">
        <f t="shared" si="35"/>
        <v>26923.076923076922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36"/>
        <v>0</v>
      </c>
      <c r="BD29" s="7">
        <f t="shared" si="36"/>
        <v>14700</v>
      </c>
      <c r="BE29" s="7">
        <f t="shared" si="36"/>
        <v>0</v>
      </c>
      <c r="BF29" s="7">
        <f t="shared" si="36"/>
        <v>1453.8461538461536</v>
      </c>
      <c r="BG29" s="7">
        <f t="shared" si="36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44">BI29*AP29</f>
        <v>0</v>
      </c>
      <c r="BP29" s="7">
        <f t="shared" si="37"/>
        <v>9800</v>
      </c>
      <c r="BQ29" s="7">
        <f t="shared" si="37"/>
        <v>0</v>
      </c>
      <c r="BR29" s="7">
        <f t="shared" si="37"/>
        <v>969.23076923076917</v>
      </c>
      <c r="BS29" s="7">
        <f t="shared" si="37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5">BU29*AP29</f>
        <v>0</v>
      </c>
      <c r="CB29" s="7">
        <f t="shared" si="38"/>
        <v>0</v>
      </c>
      <c r="CC29" s="7">
        <f t="shared" si="38"/>
        <v>0</v>
      </c>
      <c r="CD29" s="7">
        <f t="shared" si="38"/>
        <v>0</v>
      </c>
      <c r="CE29" s="7">
        <f t="shared" si="38"/>
        <v>0</v>
      </c>
    </row>
    <row r="30" spans="2:83" x14ac:dyDescent="0.25">
      <c r="B30" s="16" t="s">
        <v>88</v>
      </c>
      <c r="C30" s="16">
        <f>C54</f>
        <v>8500</v>
      </c>
      <c r="D30" s="16">
        <f>D54</f>
        <v>8500</v>
      </c>
      <c r="F30" s="16">
        <f t="shared" si="39"/>
        <v>0</v>
      </c>
      <c r="G30" s="16">
        <f t="shared" si="39"/>
        <v>0</v>
      </c>
      <c r="H30" s="16">
        <f t="shared" si="39"/>
        <v>0</v>
      </c>
      <c r="I30" s="16">
        <f t="shared" si="39"/>
        <v>0</v>
      </c>
      <c r="J30" s="16">
        <f t="shared" si="39"/>
        <v>0</v>
      </c>
      <c r="K30" s="16">
        <f t="shared" si="39"/>
        <v>0</v>
      </c>
      <c r="M30" s="16">
        <f t="shared" si="40"/>
        <v>0</v>
      </c>
      <c r="N30" s="16">
        <f t="shared" si="40"/>
        <v>0</v>
      </c>
      <c r="O30" s="16">
        <f t="shared" si="40"/>
        <v>0</v>
      </c>
      <c r="P30" s="16">
        <f t="shared" si="40"/>
        <v>3400</v>
      </c>
      <c r="S30" s="16"/>
      <c r="T30" s="16">
        <f>T54</f>
        <v>0</v>
      </c>
      <c r="V30" s="16">
        <f t="shared" si="41"/>
        <v>0</v>
      </c>
      <c r="W30" s="16">
        <f t="shared" si="41"/>
        <v>0</v>
      </c>
      <c r="X30" s="16">
        <f t="shared" si="41"/>
        <v>0</v>
      </c>
      <c r="Y30" s="16">
        <f t="shared" si="41"/>
        <v>0</v>
      </c>
      <c r="AA30" s="16">
        <f t="shared" si="42"/>
        <v>0</v>
      </c>
      <c r="AB30" s="16">
        <f t="shared" si="42"/>
        <v>0</v>
      </c>
      <c r="AC30" s="16">
        <f t="shared" si="42"/>
        <v>0</v>
      </c>
      <c r="AD30" s="16">
        <f t="shared" si="42"/>
        <v>5100</v>
      </c>
      <c r="AH30" s="59" t="str">
        <f t="shared" si="43"/>
        <v>Bakewell</v>
      </c>
      <c r="AI30" s="1">
        <f t="shared" si="29"/>
        <v>0</v>
      </c>
      <c r="AJ30" s="1">
        <f t="shared" si="30"/>
        <v>3400</v>
      </c>
      <c r="AK30" s="1">
        <f t="shared" si="24"/>
        <v>0</v>
      </c>
      <c r="AL30" s="1">
        <f t="shared" si="31"/>
        <v>0</v>
      </c>
      <c r="AM30" s="1">
        <f t="shared" si="32"/>
        <v>5100</v>
      </c>
      <c r="AN30" s="1">
        <f t="shared" si="33"/>
        <v>8500</v>
      </c>
      <c r="AP30" s="7">
        <f t="shared" si="34"/>
        <v>0</v>
      </c>
      <c r="AQ30" s="7">
        <f t="shared" si="34"/>
        <v>4358.9743589743584</v>
      </c>
      <c r="AR30" s="7">
        <f t="shared" si="34"/>
        <v>0</v>
      </c>
      <c r="AS30" s="7">
        <f t="shared" si="34"/>
        <v>0</v>
      </c>
      <c r="AT30" s="7">
        <f t="shared" si="34"/>
        <v>6538.4615384615381</v>
      </c>
      <c r="AU30" s="7">
        <f t="shared" si="35"/>
        <v>10897.435897435897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36"/>
        <v>0</v>
      </c>
      <c r="BD30" s="7">
        <f t="shared" si="36"/>
        <v>435.89743589743586</v>
      </c>
      <c r="BE30" s="7">
        <f t="shared" si="36"/>
        <v>0</v>
      </c>
      <c r="BF30" s="7">
        <f t="shared" si="36"/>
        <v>0</v>
      </c>
      <c r="BG30" s="7">
        <f t="shared" si="36"/>
        <v>653.84615384615381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44"/>
        <v>0</v>
      </c>
      <c r="BP30" s="7">
        <f t="shared" si="37"/>
        <v>3923.0769230769229</v>
      </c>
      <c r="BQ30" s="7">
        <f t="shared" si="37"/>
        <v>0</v>
      </c>
      <c r="BR30" s="7">
        <f t="shared" si="37"/>
        <v>0</v>
      </c>
      <c r="BS30" s="7">
        <f t="shared" si="37"/>
        <v>5884.6153846153848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5"/>
        <v>0</v>
      </c>
      <c r="CB30" s="7">
        <f t="shared" si="38"/>
        <v>0</v>
      </c>
      <c r="CC30" s="7">
        <f t="shared" si="38"/>
        <v>0</v>
      </c>
      <c r="CD30" s="7">
        <f t="shared" si="38"/>
        <v>0</v>
      </c>
      <c r="CE30" s="7">
        <f t="shared" si="38"/>
        <v>0</v>
      </c>
    </row>
    <row r="31" spans="2:83" x14ac:dyDescent="0.25">
      <c r="B31" s="16" t="s">
        <v>116</v>
      </c>
      <c r="C31" s="16">
        <f>C65</f>
        <v>16000</v>
      </c>
      <c r="D31" s="16">
        <f>D65</f>
        <v>16000</v>
      </c>
      <c r="F31" s="16">
        <f t="shared" ref="F31:K31" si="46">F65</f>
        <v>0</v>
      </c>
      <c r="G31" s="16">
        <f t="shared" si="46"/>
        <v>0</v>
      </c>
      <c r="H31" s="16">
        <f t="shared" si="46"/>
        <v>0</v>
      </c>
      <c r="I31" s="16">
        <f t="shared" si="46"/>
        <v>0</v>
      </c>
      <c r="J31" s="16">
        <f t="shared" si="46"/>
        <v>0</v>
      </c>
      <c r="K31" s="16">
        <f t="shared" si="46"/>
        <v>10400</v>
      </c>
      <c r="M31" s="16">
        <f t="shared" ref="M31:P31" si="47">M65</f>
        <v>0</v>
      </c>
      <c r="N31" s="16">
        <f t="shared" si="47"/>
        <v>0</v>
      </c>
      <c r="O31" s="16">
        <f t="shared" si="47"/>
        <v>0</v>
      </c>
      <c r="P31" s="16">
        <f t="shared" si="47"/>
        <v>5600</v>
      </c>
      <c r="S31" s="16"/>
      <c r="T31" s="16">
        <f>T65</f>
        <v>0</v>
      </c>
      <c r="V31" s="16">
        <f t="shared" ref="V31:Y31" si="48">V65</f>
        <v>0</v>
      </c>
      <c r="W31" s="16">
        <f t="shared" si="48"/>
        <v>0</v>
      </c>
      <c r="X31" s="16">
        <f t="shared" si="48"/>
        <v>0</v>
      </c>
      <c r="Y31" s="16">
        <f t="shared" si="48"/>
        <v>0</v>
      </c>
      <c r="AA31" s="16">
        <f t="shared" ref="AA31:AD31" si="49">AA65</f>
        <v>0</v>
      </c>
      <c r="AB31" s="16">
        <f t="shared" si="49"/>
        <v>0</v>
      </c>
      <c r="AC31" s="16">
        <f t="shared" si="49"/>
        <v>0</v>
      </c>
      <c r="AD31" s="16">
        <f t="shared" si="49"/>
        <v>0</v>
      </c>
      <c r="AH31" s="59" t="str">
        <f t="shared" si="43"/>
        <v>Bua Premium</v>
      </c>
      <c r="AI31" s="1">
        <f t="shared" si="29"/>
        <v>10400</v>
      </c>
      <c r="AJ31" s="1">
        <f t="shared" si="30"/>
        <v>5600</v>
      </c>
      <c r="AK31" s="1">
        <f t="shared" si="24"/>
        <v>0</v>
      </c>
      <c r="AL31" s="1">
        <f t="shared" si="31"/>
        <v>0</v>
      </c>
      <c r="AM31" s="1">
        <f t="shared" si="32"/>
        <v>0</v>
      </c>
      <c r="AN31" s="1">
        <f t="shared" si="33"/>
        <v>16000</v>
      </c>
      <c r="AP31" s="7">
        <f t="shared" si="34"/>
        <v>13333.333333333332</v>
      </c>
      <c r="AQ31" s="7">
        <f t="shared" si="34"/>
        <v>7179.4871794871797</v>
      </c>
      <c r="AR31" s="7">
        <f t="shared" si="34"/>
        <v>0</v>
      </c>
      <c r="AS31" s="7">
        <f t="shared" si="34"/>
        <v>0</v>
      </c>
      <c r="AT31" s="7">
        <f t="shared" si="34"/>
        <v>0</v>
      </c>
      <c r="AU31" s="7">
        <f t="shared" si="35"/>
        <v>20512.820512820512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36"/>
        <v>0</v>
      </c>
      <c r="BD31" s="7">
        <f t="shared" si="36"/>
        <v>0</v>
      </c>
      <c r="BE31" s="7">
        <f t="shared" si="36"/>
        <v>0</v>
      </c>
      <c r="BF31" s="7">
        <f t="shared" si="36"/>
        <v>0</v>
      </c>
      <c r="BG31" s="7">
        <f t="shared" si="36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44"/>
        <v>13333.333333333332</v>
      </c>
      <c r="BP31" s="7">
        <f t="shared" si="37"/>
        <v>7179.4871794871797</v>
      </c>
      <c r="BQ31" s="7">
        <f t="shared" si="37"/>
        <v>0</v>
      </c>
      <c r="BR31" s="7">
        <f t="shared" si="37"/>
        <v>0</v>
      </c>
      <c r="BS31" s="7">
        <f t="shared" si="37"/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5"/>
        <v>0</v>
      </c>
      <c r="CB31" s="7">
        <f t="shared" si="38"/>
        <v>0</v>
      </c>
      <c r="CC31" s="7">
        <f t="shared" si="38"/>
        <v>0</v>
      </c>
      <c r="CD31" s="7">
        <f t="shared" si="38"/>
        <v>0</v>
      </c>
      <c r="CE31" s="7">
        <f t="shared" si="38"/>
        <v>0</v>
      </c>
    </row>
    <row r="32" spans="2:83" x14ac:dyDescent="0.25">
      <c r="B32" s="16" t="s">
        <v>70</v>
      </c>
      <c r="C32" s="16">
        <f>C46+C67</f>
        <v>4500</v>
      </c>
      <c r="D32" s="16">
        <f>D46+D67</f>
        <v>4500</v>
      </c>
      <c r="F32" s="16">
        <f t="shared" ref="F32:K32" si="50">F46+F67</f>
        <v>0</v>
      </c>
      <c r="G32" s="16">
        <f t="shared" si="50"/>
        <v>0</v>
      </c>
      <c r="H32" s="16">
        <f t="shared" si="50"/>
        <v>0</v>
      </c>
      <c r="I32" s="16">
        <f t="shared" si="50"/>
        <v>0</v>
      </c>
      <c r="J32" s="16">
        <f t="shared" si="50"/>
        <v>0</v>
      </c>
      <c r="K32" s="16">
        <f t="shared" si="50"/>
        <v>4500</v>
      </c>
      <c r="M32" s="16">
        <f t="shared" ref="M32:P32" si="51">M46+M67</f>
        <v>0</v>
      </c>
      <c r="N32" s="16">
        <f t="shared" si="51"/>
        <v>0</v>
      </c>
      <c r="O32" s="16">
        <f t="shared" si="51"/>
        <v>0</v>
      </c>
      <c r="P32" s="16">
        <f t="shared" si="51"/>
        <v>0</v>
      </c>
      <c r="S32" s="16"/>
      <c r="T32" s="16">
        <f>T46+T67</f>
        <v>0</v>
      </c>
      <c r="V32" s="16">
        <f t="shared" ref="V32:Y32" si="52">V46+V67</f>
        <v>0</v>
      </c>
      <c r="W32" s="16">
        <f t="shared" si="52"/>
        <v>0</v>
      </c>
      <c r="X32" s="16">
        <f t="shared" si="52"/>
        <v>0</v>
      </c>
      <c r="Y32" s="16">
        <f t="shared" si="52"/>
        <v>0</v>
      </c>
      <c r="AA32" s="16">
        <f t="shared" ref="AA32:AD32" si="53">AA46+AA67</f>
        <v>0</v>
      </c>
      <c r="AB32" s="16">
        <f t="shared" si="53"/>
        <v>0</v>
      </c>
      <c r="AC32" s="16">
        <f t="shared" si="53"/>
        <v>0</v>
      </c>
      <c r="AD32" s="16">
        <f t="shared" si="53"/>
        <v>0</v>
      </c>
      <c r="AH32" s="59" t="str">
        <f t="shared" si="43"/>
        <v>Biscuit Flour</v>
      </c>
      <c r="AI32" s="1">
        <f t="shared" si="29"/>
        <v>4500</v>
      </c>
      <c r="AJ32" s="1">
        <f t="shared" si="30"/>
        <v>0</v>
      </c>
      <c r="AK32" s="1">
        <f t="shared" si="24"/>
        <v>0</v>
      </c>
      <c r="AL32" s="1">
        <f t="shared" si="31"/>
        <v>0</v>
      </c>
      <c r="AM32" s="1">
        <f t="shared" si="32"/>
        <v>0</v>
      </c>
      <c r="AN32" s="1">
        <f t="shared" si="33"/>
        <v>4500</v>
      </c>
      <c r="AP32" s="7">
        <f t="shared" si="34"/>
        <v>5769.2307692307686</v>
      </c>
      <c r="AQ32" s="7">
        <f t="shared" si="34"/>
        <v>0</v>
      </c>
      <c r="AR32" s="7">
        <f t="shared" si="34"/>
        <v>0</v>
      </c>
      <c r="AS32" s="7">
        <f t="shared" si="34"/>
        <v>0</v>
      </c>
      <c r="AT32" s="7">
        <f t="shared" si="34"/>
        <v>0</v>
      </c>
      <c r="AU32" s="7">
        <f t="shared" si="35"/>
        <v>5769.2307692307686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si="36"/>
        <v>0</v>
      </c>
      <c r="BD32" s="7">
        <f t="shared" si="36"/>
        <v>0</v>
      </c>
      <c r="BE32" s="7">
        <f t="shared" si="36"/>
        <v>0</v>
      </c>
      <c r="BF32" s="7">
        <f t="shared" si="36"/>
        <v>0</v>
      </c>
      <c r="BG32" s="7">
        <f t="shared" si="36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44"/>
        <v>576.92307692307691</v>
      </c>
      <c r="BP32" s="7">
        <f t="shared" si="37"/>
        <v>0</v>
      </c>
      <c r="BQ32" s="7">
        <f t="shared" si="37"/>
        <v>0</v>
      </c>
      <c r="BR32" s="7">
        <f t="shared" si="37"/>
        <v>0</v>
      </c>
      <c r="BS32" s="7">
        <f t="shared" si="37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5"/>
        <v>5192.3076923076915</v>
      </c>
      <c r="CB32" s="7">
        <f t="shared" si="38"/>
        <v>0</v>
      </c>
      <c r="CC32" s="7">
        <f t="shared" si="38"/>
        <v>0</v>
      </c>
      <c r="CD32" s="7">
        <f t="shared" si="38"/>
        <v>0</v>
      </c>
      <c r="CE32" s="7">
        <f t="shared" si="38"/>
        <v>0</v>
      </c>
    </row>
    <row r="33" spans="1:83" x14ac:dyDescent="0.25">
      <c r="B33" s="16" t="s">
        <v>117</v>
      </c>
      <c r="C33" s="16">
        <f>C47+C70</f>
        <v>4500</v>
      </c>
      <c r="D33" s="16">
        <f>D47+D70</f>
        <v>4500</v>
      </c>
      <c r="F33" s="16">
        <f t="shared" ref="F33:K33" si="54">F47+F70</f>
        <v>0</v>
      </c>
      <c r="G33" s="16">
        <f t="shared" si="54"/>
        <v>0</v>
      </c>
      <c r="H33" s="16">
        <f t="shared" si="54"/>
        <v>0</v>
      </c>
      <c r="I33" s="16">
        <f t="shared" si="54"/>
        <v>0</v>
      </c>
      <c r="J33" s="16">
        <f t="shared" si="54"/>
        <v>0</v>
      </c>
      <c r="K33" s="16">
        <f t="shared" si="54"/>
        <v>450</v>
      </c>
      <c r="M33" s="16">
        <f t="shared" ref="M33:P33" si="55">M47+M70</f>
        <v>0</v>
      </c>
      <c r="N33" s="16">
        <f t="shared" si="55"/>
        <v>0</v>
      </c>
      <c r="O33" s="16">
        <f t="shared" si="55"/>
        <v>0</v>
      </c>
      <c r="P33" s="16">
        <f t="shared" si="55"/>
        <v>3735</v>
      </c>
      <c r="S33" s="16"/>
      <c r="T33" s="16">
        <f>T47+T70</f>
        <v>0</v>
      </c>
      <c r="V33" s="16">
        <f t="shared" ref="V33:Y33" si="56">V47+V70</f>
        <v>0</v>
      </c>
      <c r="W33" s="16">
        <f t="shared" si="56"/>
        <v>0</v>
      </c>
      <c r="X33" s="16">
        <f t="shared" si="56"/>
        <v>0</v>
      </c>
      <c r="Y33" s="16">
        <f t="shared" si="56"/>
        <v>0</v>
      </c>
      <c r="AA33" s="16">
        <f t="shared" ref="AA33:AD33" si="57">AA47+AA70</f>
        <v>0</v>
      </c>
      <c r="AB33" s="16">
        <f t="shared" si="57"/>
        <v>0</v>
      </c>
      <c r="AC33" s="16">
        <f t="shared" si="57"/>
        <v>0</v>
      </c>
      <c r="AD33" s="16">
        <f t="shared" si="57"/>
        <v>315.00000000000006</v>
      </c>
      <c r="AH33" s="59" t="str">
        <f t="shared" si="43"/>
        <v>Noodles Flour</v>
      </c>
      <c r="AI33" s="1">
        <f t="shared" si="29"/>
        <v>450</v>
      </c>
      <c r="AJ33" s="1">
        <f t="shared" si="30"/>
        <v>3735</v>
      </c>
      <c r="AK33" s="1">
        <f t="shared" si="24"/>
        <v>0</v>
      </c>
      <c r="AL33" s="1">
        <f t="shared" si="31"/>
        <v>0</v>
      </c>
      <c r="AM33" s="1">
        <f t="shared" si="32"/>
        <v>315.00000000000006</v>
      </c>
      <c r="AN33" s="1">
        <f t="shared" si="33"/>
        <v>4500</v>
      </c>
      <c r="AP33" s="7">
        <f t="shared" si="34"/>
        <v>576.92307692307691</v>
      </c>
      <c r="AQ33" s="7">
        <f t="shared" si="34"/>
        <v>4788.4615384615381</v>
      </c>
      <c r="AR33" s="7">
        <f t="shared" si="34"/>
        <v>0</v>
      </c>
      <c r="AS33" s="7">
        <f t="shared" si="34"/>
        <v>0</v>
      </c>
      <c r="AT33" s="7">
        <f t="shared" si="34"/>
        <v>403.84615384615392</v>
      </c>
      <c r="AU33" s="7">
        <f t="shared" si="35"/>
        <v>5769.2307692307695</v>
      </c>
      <c r="AW33" s="46">
        <v>0.25</v>
      </c>
      <c r="AX33" s="46">
        <v>0.25</v>
      </c>
      <c r="AY33" s="46">
        <v>0.2</v>
      </c>
      <c r="AZ33" s="46">
        <v>0.2</v>
      </c>
      <c r="BA33" s="46">
        <v>0.2</v>
      </c>
      <c r="BC33" s="7">
        <f t="shared" si="36"/>
        <v>144.23076923076923</v>
      </c>
      <c r="BD33" s="7">
        <f t="shared" si="36"/>
        <v>1197.1153846153845</v>
      </c>
      <c r="BE33" s="7">
        <f t="shared" si="36"/>
        <v>0</v>
      </c>
      <c r="BF33" s="7">
        <f t="shared" si="36"/>
        <v>0</v>
      </c>
      <c r="BG33" s="7">
        <f t="shared" si="36"/>
        <v>80.769230769230788</v>
      </c>
      <c r="BI33" s="46">
        <v>0.75</v>
      </c>
      <c r="BJ33" s="46">
        <v>0.75</v>
      </c>
      <c r="BK33" s="46">
        <v>0.8</v>
      </c>
      <c r="BL33" s="46">
        <v>0.8</v>
      </c>
      <c r="BM33" s="46">
        <v>0.8</v>
      </c>
      <c r="BO33" s="7">
        <f t="shared" si="44"/>
        <v>432.69230769230768</v>
      </c>
      <c r="BP33" s="7">
        <f t="shared" si="37"/>
        <v>3591.3461538461534</v>
      </c>
      <c r="BQ33" s="7">
        <f t="shared" si="37"/>
        <v>0</v>
      </c>
      <c r="BR33" s="7">
        <f t="shared" si="37"/>
        <v>0</v>
      </c>
      <c r="BS33" s="7">
        <f t="shared" si="37"/>
        <v>323.07692307692315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5"/>
        <v>0</v>
      </c>
      <c r="CB33" s="7">
        <f t="shared" si="38"/>
        <v>0</v>
      </c>
      <c r="CC33" s="7">
        <f t="shared" si="38"/>
        <v>0</v>
      </c>
      <c r="CD33" s="7">
        <f t="shared" si="38"/>
        <v>0</v>
      </c>
      <c r="CE33" s="7">
        <f t="shared" si="38"/>
        <v>0</v>
      </c>
    </row>
    <row r="34" spans="1:83" x14ac:dyDescent="0.25">
      <c r="B34" s="16" t="s">
        <v>118</v>
      </c>
      <c r="C34" s="16">
        <f>C50</f>
        <v>250</v>
      </c>
      <c r="D34" s="16">
        <f>D50</f>
        <v>250</v>
      </c>
      <c r="F34" s="16">
        <f t="shared" ref="F34:K34" si="58">F50</f>
        <v>0</v>
      </c>
      <c r="G34" s="16">
        <f t="shared" si="58"/>
        <v>0</v>
      </c>
      <c r="H34" s="16">
        <f t="shared" si="58"/>
        <v>0</v>
      </c>
      <c r="I34" s="16">
        <f t="shared" si="58"/>
        <v>0</v>
      </c>
      <c r="J34" s="16">
        <f t="shared" si="58"/>
        <v>0</v>
      </c>
      <c r="K34" s="16">
        <f t="shared" si="58"/>
        <v>0</v>
      </c>
      <c r="M34" s="16">
        <f t="shared" ref="M34:P34" si="59">M50</f>
        <v>0</v>
      </c>
      <c r="N34" s="16">
        <f t="shared" si="59"/>
        <v>0</v>
      </c>
      <c r="O34" s="16">
        <f t="shared" si="59"/>
        <v>0</v>
      </c>
      <c r="P34" s="16">
        <f t="shared" si="59"/>
        <v>0</v>
      </c>
      <c r="S34" s="16"/>
      <c r="T34" s="16">
        <f>T50</f>
        <v>0</v>
      </c>
      <c r="V34" s="16">
        <f t="shared" ref="V34:Y34" si="60">V50</f>
        <v>0</v>
      </c>
      <c r="W34" s="16">
        <f t="shared" si="60"/>
        <v>0</v>
      </c>
      <c r="X34" s="16">
        <f t="shared" si="60"/>
        <v>0</v>
      </c>
      <c r="Y34" s="16">
        <f t="shared" si="60"/>
        <v>250</v>
      </c>
      <c r="AA34" s="16">
        <f t="shared" ref="AA34:AD34" si="61">AA50</f>
        <v>0</v>
      </c>
      <c r="AB34" s="16">
        <f t="shared" si="61"/>
        <v>0</v>
      </c>
      <c r="AC34" s="16">
        <f t="shared" si="61"/>
        <v>0</v>
      </c>
      <c r="AD34" s="16">
        <f t="shared" si="61"/>
        <v>0</v>
      </c>
      <c r="AH34" s="59" t="str">
        <f t="shared" si="43"/>
        <v>Mix and Bake Madiga</v>
      </c>
      <c r="AI34" s="1">
        <f t="shared" si="29"/>
        <v>0</v>
      </c>
      <c r="AJ34" s="1">
        <f t="shared" si="30"/>
        <v>0</v>
      </c>
      <c r="AK34" s="1">
        <f t="shared" si="24"/>
        <v>0</v>
      </c>
      <c r="AL34" s="1">
        <f t="shared" si="31"/>
        <v>250</v>
      </c>
      <c r="AM34" s="1">
        <f t="shared" si="32"/>
        <v>0</v>
      </c>
      <c r="AN34" s="1">
        <f t="shared" si="33"/>
        <v>250</v>
      </c>
      <c r="AP34" s="7">
        <f t="shared" si="34"/>
        <v>0</v>
      </c>
      <c r="AQ34" s="7">
        <f t="shared" si="34"/>
        <v>0</v>
      </c>
      <c r="AR34" s="7">
        <f t="shared" si="34"/>
        <v>0</v>
      </c>
      <c r="AS34" s="7">
        <f t="shared" si="34"/>
        <v>320.5128205128205</v>
      </c>
      <c r="AT34" s="7">
        <f t="shared" si="34"/>
        <v>0</v>
      </c>
      <c r="AU34" s="7">
        <f t="shared" si="35"/>
        <v>320.5128205128205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36"/>
        <v>0</v>
      </c>
      <c r="BD34" s="7">
        <f t="shared" si="36"/>
        <v>0</v>
      </c>
      <c r="BE34" s="7">
        <f t="shared" si="36"/>
        <v>0</v>
      </c>
      <c r="BF34" s="7">
        <f t="shared" si="36"/>
        <v>80.128205128205124</v>
      </c>
      <c r="BG34" s="7">
        <f t="shared" si="36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44"/>
        <v>0</v>
      </c>
      <c r="BP34" s="7">
        <f t="shared" si="37"/>
        <v>0</v>
      </c>
      <c r="BQ34" s="7">
        <f t="shared" si="37"/>
        <v>0</v>
      </c>
      <c r="BR34" s="7">
        <f t="shared" si="37"/>
        <v>240.38461538461536</v>
      </c>
      <c r="BS34" s="7">
        <f t="shared" si="37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5"/>
        <v>0</v>
      </c>
      <c r="CB34" s="7">
        <f t="shared" si="38"/>
        <v>0</v>
      </c>
      <c r="CC34" s="7">
        <f t="shared" si="38"/>
        <v>0</v>
      </c>
      <c r="CD34" s="7">
        <f t="shared" si="38"/>
        <v>0</v>
      </c>
      <c r="CE34" s="7">
        <f t="shared" si="38"/>
        <v>0</v>
      </c>
    </row>
    <row r="35" spans="1:83" x14ac:dyDescent="0.25">
      <c r="B35" s="16" t="s">
        <v>91</v>
      </c>
      <c r="C35" s="16">
        <f>C48+C66+C75+C76</f>
        <v>12477.5</v>
      </c>
      <c r="D35" s="16">
        <f>D48+D66+D75+D76</f>
        <v>12477.5</v>
      </c>
      <c r="F35" s="16">
        <f t="shared" ref="F35:K35" si="62">F48+F66+F75+F76</f>
        <v>0</v>
      </c>
      <c r="G35" s="16">
        <f t="shared" si="62"/>
        <v>0</v>
      </c>
      <c r="H35" s="16">
        <f t="shared" si="62"/>
        <v>0</v>
      </c>
      <c r="I35" s="16">
        <f t="shared" si="62"/>
        <v>0</v>
      </c>
      <c r="J35" s="16">
        <f t="shared" si="62"/>
        <v>0</v>
      </c>
      <c r="K35" s="16">
        <f t="shared" si="62"/>
        <v>0</v>
      </c>
      <c r="M35" s="16">
        <f t="shared" ref="M35:P35" si="63">M48+M66+M75+M76</f>
        <v>0</v>
      </c>
      <c r="N35" s="16">
        <f t="shared" si="63"/>
        <v>0</v>
      </c>
      <c r="O35" s="16">
        <f t="shared" si="63"/>
        <v>0</v>
      </c>
      <c r="P35" s="16">
        <f t="shared" si="63"/>
        <v>0</v>
      </c>
      <c r="S35" s="16"/>
      <c r="T35" s="16">
        <f>T48+T66+T75+T76</f>
        <v>6238.75</v>
      </c>
      <c r="V35" s="16">
        <f t="shared" ref="V35:Y35" si="64">V48+V66+V75+V76</f>
        <v>0</v>
      </c>
      <c r="W35" s="16">
        <f t="shared" si="64"/>
        <v>0</v>
      </c>
      <c r="X35" s="16">
        <f t="shared" si="64"/>
        <v>0</v>
      </c>
      <c r="Y35" s="16">
        <f t="shared" si="64"/>
        <v>0</v>
      </c>
      <c r="AA35" s="16">
        <f t="shared" ref="AA35:AD35" si="65">AA48+AA66+AA75+AA76</f>
        <v>0</v>
      </c>
      <c r="AB35" s="16">
        <f t="shared" si="65"/>
        <v>0</v>
      </c>
      <c r="AC35" s="16">
        <f t="shared" si="65"/>
        <v>0</v>
      </c>
      <c r="AD35" s="16">
        <f t="shared" si="65"/>
        <v>6238.75</v>
      </c>
      <c r="AH35" s="59" t="str">
        <f t="shared" si="43"/>
        <v>Spaghetti</v>
      </c>
      <c r="AI35" s="1">
        <f t="shared" si="29"/>
        <v>0</v>
      </c>
      <c r="AJ35" s="1">
        <f t="shared" si="30"/>
        <v>0</v>
      </c>
      <c r="AK35" s="1">
        <f t="shared" si="24"/>
        <v>6238.75</v>
      </c>
      <c r="AL35" s="1">
        <f t="shared" si="31"/>
        <v>0</v>
      </c>
      <c r="AM35" s="1">
        <f t="shared" si="32"/>
        <v>6238.75</v>
      </c>
      <c r="AN35" s="1">
        <f t="shared" si="33"/>
        <v>12477.5</v>
      </c>
      <c r="AP35" s="7">
        <f t="shared" si="34"/>
        <v>0</v>
      </c>
      <c r="AQ35" s="7">
        <f t="shared" si="34"/>
        <v>0</v>
      </c>
      <c r="AR35" s="7">
        <f t="shared" si="34"/>
        <v>7998.3974358974356</v>
      </c>
      <c r="AS35" s="7">
        <f t="shared" si="34"/>
        <v>0</v>
      </c>
      <c r="AT35" s="7">
        <f t="shared" si="34"/>
        <v>7998.3974358974356</v>
      </c>
      <c r="AU35" s="7">
        <f t="shared" si="35"/>
        <v>15996.794871794871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36"/>
        <v>0</v>
      </c>
      <c r="BD35" s="7">
        <f t="shared" si="36"/>
        <v>0</v>
      </c>
      <c r="BE35" s="7">
        <f t="shared" si="36"/>
        <v>0</v>
      </c>
      <c r="BF35" s="7">
        <f t="shared" si="36"/>
        <v>0</v>
      </c>
      <c r="BG35" s="7">
        <f t="shared" si="36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44"/>
        <v>0</v>
      </c>
      <c r="BP35" s="7">
        <f t="shared" si="37"/>
        <v>0</v>
      </c>
      <c r="BQ35" s="7">
        <f t="shared" si="37"/>
        <v>7998.3974358974356</v>
      </c>
      <c r="BR35" s="7">
        <f t="shared" si="37"/>
        <v>0</v>
      </c>
      <c r="BS35" s="7">
        <f t="shared" si="37"/>
        <v>7998.3974358974356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5"/>
        <v>0</v>
      </c>
      <c r="CB35" s="7">
        <f t="shared" si="38"/>
        <v>0</v>
      </c>
      <c r="CC35" s="7">
        <f t="shared" si="38"/>
        <v>0</v>
      </c>
      <c r="CD35" s="7">
        <f t="shared" si="38"/>
        <v>0</v>
      </c>
      <c r="CE35" s="7">
        <f t="shared" si="38"/>
        <v>0</v>
      </c>
    </row>
    <row r="36" spans="1:83" x14ac:dyDescent="0.25">
      <c r="B36" s="16" t="s">
        <v>126</v>
      </c>
      <c r="C36" s="16">
        <f>C49+C51+C52+C83+C88+C84+C85+C86+C87</f>
        <v>3700</v>
      </c>
      <c r="D36" s="16">
        <f>D49+D51+D52+D83+D88+D84+D85+D86+D87</f>
        <v>3700</v>
      </c>
      <c r="F36" s="16">
        <f t="shared" ref="F36:K36" si="66">F49+F51+F52+F83+F88</f>
        <v>0</v>
      </c>
      <c r="G36" s="16">
        <f t="shared" si="66"/>
        <v>0</v>
      </c>
      <c r="H36" s="16">
        <f t="shared" si="66"/>
        <v>0</v>
      </c>
      <c r="I36" s="16">
        <f t="shared" si="66"/>
        <v>0</v>
      </c>
      <c r="J36" s="16">
        <f t="shared" si="66"/>
        <v>0</v>
      </c>
      <c r="K36" s="16">
        <f t="shared" si="66"/>
        <v>0</v>
      </c>
      <c r="M36" s="16">
        <f t="shared" ref="M36:P36" si="67">M49+M51+M52+M83+M88</f>
        <v>0</v>
      </c>
      <c r="N36" s="16">
        <f t="shared" si="67"/>
        <v>0</v>
      </c>
      <c r="O36" s="16">
        <f t="shared" si="67"/>
        <v>0</v>
      </c>
      <c r="P36" s="16">
        <f t="shared" si="67"/>
        <v>0</v>
      </c>
      <c r="S36" s="16"/>
      <c r="T36" s="16">
        <f>T49+T51+T52+T83+T88+T84+T85+T86+T87</f>
        <v>1872.5</v>
      </c>
      <c r="V36" s="16">
        <f t="shared" ref="V36:Y36" si="68">V49+V51+V52+V83+V88</f>
        <v>0</v>
      </c>
      <c r="W36" s="16">
        <f t="shared" si="68"/>
        <v>0</v>
      </c>
      <c r="X36" s="16">
        <f t="shared" si="68"/>
        <v>0</v>
      </c>
      <c r="Y36" s="16">
        <f t="shared" si="68"/>
        <v>0</v>
      </c>
      <c r="AA36" s="16">
        <f t="shared" ref="AA36:AC36" si="69">AA49+AA51+AA52+AA83+AA88+AA84+AA85+AA86+AA87</f>
        <v>0</v>
      </c>
      <c r="AB36" s="16">
        <f t="shared" si="69"/>
        <v>0</v>
      </c>
      <c r="AC36" s="16">
        <f t="shared" si="69"/>
        <v>0</v>
      </c>
      <c r="AD36" s="16">
        <f>AD49+AD51+AD52+AD83+AD88+AD84+AD85+AD86+AD87</f>
        <v>1827.5</v>
      </c>
      <c r="AH36" s="59" t="str">
        <f t="shared" si="43"/>
        <v>Macaroni</v>
      </c>
      <c r="AI36" s="1">
        <f t="shared" si="29"/>
        <v>0</v>
      </c>
      <c r="AJ36" s="1">
        <f t="shared" si="30"/>
        <v>0</v>
      </c>
      <c r="AK36" s="1">
        <f t="shared" si="24"/>
        <v>1872.5</v>
      </c>
      <c r="AL36" s="1">
        <f t="shared" si="31"/>
        <v>0</v>
      </c>
      <c r="AM36" s="1">
        <f t="shared" si="32"/>
        <v>1827.5</v>
      </c>
      <c r="AN36" s="1">
        <f t="shared" si="33"/>
        <v>3700</v>
      </c>
      <c r="AP36" s="7">
        <f t="shared" si="34"/>
        <v>0</v>
      </c>
      <c r="AQ36" s="7">
        <f t="shared" si="34"/>
        <v>0</v>
      </c>
      <c r="AR36" s="7">
        <f t="shared" si="34"/>
        <v>2400.6410256410254</v>
      </c>
      <c r="AS36" s="7">
        <f t="shared" si="34"/>
        <v>0</v>
      </c>
      <c r="AT36" s="7">
        <f t="shared" si="34"/>
        <v>2342.9487179487178</v>
      </c>
      <c r="AU36" s="7">
        <f t="shared" si="35"/>
        <v>4743.5897435897432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36"/>
        <v>0</v>
      </c>
      <c r="BD36" s="7">
        <f t="shared" si="36"/>
        <v>0</v>
      </c>
      <c r="BE36" s="7">
        <f t="shared" si="36"/>
        <v>0</v>
      </c>
      <c r="BF36" s="7">
        <f t="shared" si="36"/>
        <v>0</v>
      </c>
      <c r="BG36" s="7">
        <f t="shared" si="36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44"/>
        <v>0</v>
      </c>
      <c r="BP36" s="7">
        <f t="shared" si="37"/>
        <v>0</v>
      </c>
      <c r="BQ36" s="7">
        <f t="shared" si="37"/>
        <v>2400.6410256410254</v>
      </c>
      <c r="BR36" s="7">
        <f t="shared" si="37"/>
        <v>0</v>
      </c>
      <c r="BS36" s="7">
        <f t="shared" si="37"/>
        <v>2342.9487179487178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5"/>
        <v>0</v>
      </c>
      <c r="CB36" s="7">
        <f t="shared" si="38"/>
        <v>0</v>
      </c>
      <c r="CC36" s="7">
        <f t="shared" si="38"/>
        <v>0</v>
      </c>
      <c r="CD36" s="7">
        <f t="shared" si="38"/>
        <v>0</v>
      </c>
      <c r="CE36" s="7">
        <f t="shared" si="38"/>
        <v>0</v>
      </c>
    </row>
    <row r="37" spans="1:83" x14ac:dyDescent="0.25">
      <c r="B37" s="16" t="s">
        <v>93</v>
      </c>
      <c r="C37" s="16">
        <f>C71+C72+C73+C74</f>
        <v>2730</v>
      </c>
      <c r="D37" s="16">
        <f>D71+D72+D73+D74</f>
        <v>2730</v>
      </c>
      <c r="F37" s="16">
        <f t="shared" ref="F37:K37" si="70">F71+F72+F73+F74</f>
        <v>0</v>
      </c>
      <c r="G37" s="16">
        <f t="shared" si="70"/>
        <v>0</v>
      </c>
      <c r="H37" s="16">
        <f t="shared" si="70"/>
        <v>0</v>
      </c>
      <c r="I37" s="16">
        <f t="shared" si="70"/>
        <v>0</v>
      </c>
      <c r="J37" s="16">
        <f t="shared" si="70"/>
        <v>0</v>
      </c>
      <c r="K37" s="16">
        <f t="shared" si="70"/>
        <v>987.30418750000013</v>
      </c>
      <c r="M37" s="16">
        <f t="shared" ref="M37:P37" si="71">M71+M72+M73+M74</f>
        <v>0</v>
      </c>
      <c r="N37" s="16">
        <f t="shared" si="71"/>
        <v>0</v>
      </c>
      <c r="O37" s="16">
        <f t="shared" si="71"/>
        <v>0</v>
      </c>
      <c r="P37" s="16">
        <f t="shared" si="71"/>
        <v>0</v>
      </c>
      <c r="S37" s="16"/>
      <c r="T37" s="16">
        <f>T71+T72+T73+T74</f>
        <v>0</v>
      </c>
      <c r="V37" s="16">
        <f t="shared" ref="V37:X37" si="72">V71+V72+V73+V74</f>
        <v>0</v>
      </c>
      <c r="W37" s="16">
        <f t="shared" si="72"/>
        <v>0</v>
      </c>
      <c r="X37" s="16">
        <f t="shared" si="72"/>
        <v>0</v>
      </c>
      <c r="Y37" s="16">
        <f>Y71+Y72+Y73+Y74</f>
        <v>504.69581249999993</v>
      </c>
      <c r="AA37" s="16">
        <f t="shared" ref="AA37:AD37" si="73">AA71+AA72+AA73+AA74</f>
        <v>0</v>
      </c>
      <c r="AB37" s="16">
        <f t="shared" si="73"/>
        <v>0</v>
      </c>
      <c r="AC37" s="16">
        <f t="shared" si="73"/>
        <v>0</v>
      </c>
      <c r="AD37" s="16">
        <f t="shared" si="73"/>
        <v>1238</v>
      </c>
      <c r="AH37" s="59" t="str">
        <f t="shared" si="43"/>
        <v>Supreme Semolina</v>
      </c>
      <c r="AI37" s="1">
        <f t="shared" si="29"/>
        <v>987.30418750000013</v>
      </c>
      <c r="AJ37" s="1">
        <f t="shared" si="30"/>
        <v>0</v>
      </c>
      <c r="AK37" s="1">
        <f t="shared" si="24"/>
        <v>0</v>
      </c>
      <c r="AL37" s="1">
        <f t="shared" si="31"/>
        <v>504.69581249999993</v>
      </c>
      <c r="AM37" s="1">
        <f t="shared" si="32"/>
        <v>1238</v>
      </c>
      <c r="AN37" s="1">
        <f t="shared" si="33"/>
        <v>2730</v>
      </c>
      <c r="AP37" s="7">
        <f t="shared" si="34"/>
        <v>1265.7745993589745</v>
      </c>
      <c r="AQ37" s="7">
        <f t="shared" si="34"/>
        <v>0</v>
      </c>
      <c r="AR37" s="7">
        <f t="shared" si="34"/>
        <v>0</v>
      </c>
      <c r="AS37" s="7">
        <f t="shared" si="34"/>
        <v>647.04591346153836</v>
      </c>
      <c r="AT37" s="7">
        <f t="shared" si="34"/>
        <v>1587.1794871794871</v>
      </c>
      <c r="AU37" s="7">
        <f t="shared" si="35"/>
        <v>3500</v>
      </c>
      <c r="AW37" s="46">
        <v>0.45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36"/>
        <v>569.59856971153852</v>
      </c>
      <c r="BD37" s="7">
        <f t="shared" si="36"/>
        <v>0</v>
      </c>
      <c r="BE37" s="7">
        <f t="shared" si="36"/>
        <v>0</v>
      </c>
      <c r="BF37" s="7">
        <f t="shared" si="36"/>
        <v>161.76147836538459</v>
      </c>
      <c r="BG37" s="7">
        <f t="shared" si="36"/>
        <v>396.79487179487177</v>
      </c>
      <c r="BI37" s="46">
        <v>0.55000000000000004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44"/>
        <v>696.17602964743605</v>
      </c>
      <c r="BP37" s="7">
        <f t="shared" si="37"/>
        <v>0</v>
      </c>
      <c r="BQ37" s="7">
        <f t="shared" si="37"/>
        <v>0</v>
      </c>
      <c r="BR37" s="7">
        <f t="shared" si="37"/>
        <v>485.28443509615374</v>
      </c>
      <c r="BS37" s="7">
        <f t="shared" si="37"/>
        <v>1190.3846153846152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5"/>
        <v>0</v>
      </c>
      <c r="CB37" s="7">
        <f t="shared" si="38"/>
        <v>0</v>
      </c>
      <c r="CC37" s="7">
        <f t="shared" si="38"/>
        <v>0</v>
      </c>
      <c r="CD37" s="7">
        <f t="shared" si="38"/>
        <v>0</v>
      </c>
      <c r="CE37" s="7">
        <f t="shared" si="38"/>
        <v>0</v>
      </c>
    </row>
    <row r="38" spans="1:83" x14ac:dyDescent="0.25">
      <c r="B38" s="16" t="s">
        <v>73</v>
      </c>
      <c r="C38" s="16">
        <f>C55+C56+C57+C58+C89+C90</f>
        <v>1468</v>
      </c>
      <c r="D38" s="16">
        <f>D55+D56+D57+D58+D89+D90</f>
        <v>1468</v>
      </c>
      <c r="F38" s="16">
        <f t="shared" ref="F38:K38" si="74">F55+F56+F57+F58+F89+F90</f>
        <v>0</v>
      </c>
      <c r="G38" s="16">
        <f t="shared" si="74"/>
        <v>0</v>
      </c>
      <c r="H38" s="16">
        <f t="shared" si="74"/>
        <v>0</v>
      </c>
      <c r="I38" s="16">
        <f t="shared" si="74"/>
        <v>0</v>
      </c>
      <c r="J38" s="16">
        <f t="shared" si="74"/>
        <v>0</v>
      </c>
      <c r="K38" s="16">
        <f t="shared" si="74"/>
        <v>1468</v>
      </c>
      <c r="M38" s="16">
        <f t="shared" ref="M38:P38" si="75">M55+M56+M57+M58+M89+M90</f>
        <v>0</v>
      </c>
      <c r="N38" s="16">
        <f t="shared" si="75"/>
        <v>0</v>
      </c>
      <c r="O38" s="16">
        <f t="shared" si="75"/>
        <v>0</v>
      </c>
      <c r="P38" s="16">
        <f t="shared" si="75"/>
        <v>0</v>
      </c>
      <c r="S38" s="16"/>
      <c r="T38" s="16">
        <f>T55+T56+T57+T58+T89+T90</f>
        <v>0</v>
      </c>
      <c r="V38" s="16">
        <f t="shared" ref="V38:Y38" si="76">V55+V56+V57+V58+V89+V90</f>
        <v>0</v>
      </c>
      <c r="W38" s="16">
        <f t="shared" si="76"/>
        <v>0</v>
      </c>
      <c r="X38" s="16">
        <f t="shared" si="76"/>
        <v>0</v>
      </c>
      <c r="Y38" s="16">
        <f t="shared" si="76"/>
        <v>0</v>
      </c>
      <c r="AA38" s="16">
        <f t="shared" ref="AA38:AD38" si="77">AA55+AA56+AA57+AA58+AA89+AA90</f>
        <v>0</v>
      </c>
      <c r="AB38" s="16">
        <f t="shared" si="77"/>
        <v>0</v>
      </c>
      <c r="AC38" s="16">
        <f t="shared" si="77"/>
        <v>0</v>
      </c>
      <c r="AD38" s="16">
        <f t="shared" si="77"/>
        <v>0</v>
      </c>
      <c r="AH38" s="59" t="str">
        <f t="shared" si="43"/>
        <v>Mama Gold Semolina</v>
      </c>
      <c r="AI38" s="1">
        <f t="shared" si="29"/>
        <v>1468</v>
      </c>
      <c r="AJ38" s="1">
        <f t="shared" si="30"/>
        <v>0</v>
      </c>
      <c r="AK38" s="1">
        <f t="shared" si="24"/>
        <v>0</v>
      </c>
      <c r="AL38" s="1">
        <f t="shared" si="31"/>
        <v>0</v>
      </c>
      <c r="AM38" s="1">
        <f t="shared" si="32"/>
        <v>0</v>
      </c>
      <c r="AN38" s="1">
        <f t="shared" si="33"/>
        <v>1468</v>
      </c>
      <c r="AP38" s="7">
        <f t="shared" si="34"/>
        <v>1882.051282051282</v>
      </c>
      <c r="AQ38" s="7">
        <f t="shared" si="34"/>
        <v>0</v>
      </c>
      <c r="AR38" s="7">
        <f t="shared" si="34"/>
        <v>0</v>
      </c>
      <c r="AS38" s="7">
        <f t="shared" si="34"/>
        <v>0</v>
      </c>
      <c r="AT38" s="7">
        <f t="shared" si="34"/>
        <v>0</v>
      </c>
      <c r="AU38" s="7">
        <f t="shared" si="35"/>
        <v>1882.051282051282</v>
      </c>
      <c r="AW38" s="46">
        <v>0.45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36"/>
        <v>846.92307692307691</v>
      </c>
      <c r="BD38" s="7">
        <f t="shared" si="36"/>
        <v>0</v>
      </c>
      <c r="BE38" s="7">
        <f t="shared" si="36"/>
        <v>0</v>
      </c>
      <c r="BF38" s="7">
        <f t="shared" si="36"/>
        <v>0</v>
      </c>
      <c r="BG38" s="7">
        <f t="shared" si="36"/>
        <v>0</v>
      </c>
      <c r="BI38" s="46">
        <v>0.55000000000000004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44"/>
        <v>1035.1282051282051</v>
      </c>
      <c r="BP38" s="7">
        <f t="shared" si="37"/>
        <v>0</v>
      </c>
      <c r="BQ38" s="7">
        <f t="shared" si="37"/>
        <v>0</v>
      </c>
      <c r="BR38" s="7">
        <f t="shared" si="37"/>
        <v>0</v>
      </c>
      <c r="BS38" s="7">
        <f t="shared" si="37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5"/>
        <v>0</v>
      </c>
      <c r="CB38" s="7">
        <f t="shared" si="38"/>
        <v>0</v>
      </c>
      <c r="CC38" s="7">
        <f t="shared" si="38"/>
        <v>0</v>
      </c>
      <c r="CD38" s="7">
        <f t="shared" si="38"/>
        <v>0</v>
      </c>
      <c r="CE38" s="7">
        <f t="shared" si="38"/>
        <v>0</v>
      </c>
    </row>
    <row r="39" spans="1:83" x14ac:dyDescent="0.25">
      <c r="B39" s="16" t="s">
        <v>94</v>
      </c>
      <c r="C39" s="16">
        <f>C77+C78+C79+C80</f>
        <v>0</v>
      </c>
      <c r="D39" s="16">
        <f>D77+D78+D79+D80</f>
        <v>0</v>
      </c>
      <c r="F39" s="16">
        <f t="shared" ref="F39:K39" si="78">F77+F78+F79+F80</f>
        <v>0</v>
      </c>
      <c r="G39" s="16">
        <f t="shared" si="78"/>
        <v>0</v>
      </c>
      <c r="H39" s="16">
        <f t="shared" si="78"/>
        <v>0</v>
      </c>
      <c r="I39" s="16">
        <f t="shared" si="78"/>
        <v>0</v>
      </c>
      <c r="J39" s="16">
        <f t="shared" si="78"/>
        <v>0</v>
      </c>
      <c r="K39" s="16">
        <f t="shared" si="78"/>
        <v>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3"/>
        <v>Tuwovita</v>
      </c>
      <c r="AI39" s="1">
        <f t="shared" si="29"/>
        <v>0</v>
      </c>
      <c r="AJ39" s="1">
        <f t="shared" si="30"/>
        <v>0</v>
      </c>
      <c r="AK39" s="1">
        <f t="shared" si="24"/>
        <v>0</v>
      </c>
      <c r="AL39" s="1">
        <f t="shared" si="31"/>
        <v>0</v>
      </c>
      <c r="AM39" s="1">
        <f t="shared" si="32"/>
        <v>0</v>
      </c>
      <c r="AN39" s="1">
        <f t="shared" si="33"/>
        <v>0</v>
      </c>
      <c r="AP39" s="7">
        <f t="shared" si="34"/>
        <v>0</v>
      </c>
      <c r="AQ39" s="7">
        <f t="shared" si="34"/>
        <v>0</v>
      </c>
      <c r="AR39" s="7">
        <f t="shared" si="34"/>
        <v>0</v>
      </c>
      <c r="AS39" s="7">
        <f t="shared" si="34"/>
        <v>0</v>
      </c>
      <c r="AT39" s="7">
        <f t="shared" si="34"/>
        <v>0</v>
      </c>
      <c r="AU39" s="7">
        <f t="shared" si="35"/>
        <v>0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36"/>
        <v>0</v>
      </c>
      <c r="BD39" s="7">
        <f t="shared" si="36"/>
        <v>0</v>
      </c>
      <c r="BE39" s="7">
        <f t="shared" si="36"/>
        <v>0</v>
      </c>
      <c r="BF39" s="7">
        <f t="shared" si="36"/>
        <v>0</v>
      </c>
      <c r="BG39" s="7">
        <f t="shared" si="36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44"/>
        <v>0</v>
      </c>
      <c r="BP39" s="7">
        <f t="shared" si="37"/>
        <v>0</v>
      </c>
      <c r="BQ39" s="7">
        <f t="shared" si="37"/>
        <v>0</v>
      </c>
      <c r="BR39" s="7">
        <f t="shared" si="37"/>
        <v>0</v>
      </c>
      <c r="BS39" s="7">
        <f t="shared" si="37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5"/>
        <v>0</v>
      </c>
      <c r="CB39" s="7">
        <f t="shared" si="38"/>
        <v>0</v>
      </c>
      <c r="CC39" s="7">
        <f t="shared" si="38"/>
        <v>0</v>
      </c>
      <c r="CD39" s="7">
        <f t="shared" si="38"/>
        <v>0</v>
      </c>
      <c r="CE39" s="7">
        <f t="shared" si="38"/>
        <v>0</v>
      </c>
    </row>
    <row r="40" spans="1:83" ht="21" x14ac:dyDescent="0.35">
      <c r="A40" s="8"/>
      <c r="B40" s="33"/>
      <c r="C40" s="33">
        <f>SUM(C27:C39)</f>
        <v>102925.5</v>
      </c>
      <c r="D40" s="33">
        <f>SUM(D27:D39)</f>
        <v>102925.5</v>
      </c>
      <c r="E40" s="8"/>
      <c r="F40" s="47">
        <v>0</v>
      </c>
      <c r="G40" s="47">
        <f>SUM(G95:G110)/G17</f>
        <v>1.0571120005082268</v>
      </c>
      <c r="H40" s="47">
        <f>SUM(H95:H110)/H17</f>
        <v>0.98708962440618631</v>
      </c>
      <c r="I40" s="47">
        <f>SUM(I95:I110)/I17</f>
        <v>1.1550611893665066</v>
      </c>
      <c r="J40" s="47">
        <f>(J96+J104)/J23</f>
        <v>0.88537795730874003</v>
      </c>
      <c r="K40" s="47">
        <f>K93/K17</f>
        <v>0.85862787893123182</v>
      </c>
      <c r="L40" s="8"/>
      <c r="M40" s="47">
        <f>SUM(M95:M110)/M17</f>
        <v>0.81593522416850017</v>
      </c>
      <c r="N40" s="47">
        <f>SUM(N95:N110)/N17</f>
        <v>0.96393706456599537</v>
      </c>
      <c r="O40" s="47">
        <f>SUM(O95:O110)/O17</f>
        <v>0.95845144063173415</v>
      </c>
      <c r="P40" s="48">
        <f>P93/P17</f>
        <v>0.92219295573593274</v>
      </c>
      <c r="Q40" s="8"/>
      <c r="R40" s="47">
        <f>SUM(R95:R110)/R17</f>
        <v>1.0120005739811835</v>
      </c>
      <c r="S40" s="47">
        <f t="shared" ref="S40:T40" si="79">SUM(S95:S110)/S17</f>
        <v>0.92437533227006907</v>
      </c>
      <c r="T40" s="47">
        <f t="shared" si="79"/>
        <v>0.99032880649160382</v>
      </c>
      <c r="U40" s="8"/>
      <c r="V40" s="47">
        <f>SUM(V95:V110)/V17</f>
        <v>0.95394042116705702</v>
      </c>
      <c r="W40" s="47">
        <f>SUM(W95:W110)/W17</f>
        <v>0.97884366734269268</v>
      </c>
      <c r="X40" s="47">
        <f>SUM(X95:X110)/X17</f>
        <v>0.97884366734269268</v>
      </c>
      <c r="Y40" s="47">
        <f>Y93/Y17</f>
        <v>0.95402193251801548</v>
      </c>
      <c r="Z40" s="8"/>
      <c r="AA40" s="47">
        <f>SUM(AA95:AA110)/AA17</f>
        <v>1.0117324446539562</v>
      </c>
      <c r="AB40" s="47">
        <f>SUM(AB95:AB110)/AB17</f>
        <v>0.63054857182764157</v>
      </c>
      <c r="AC40" s="47">
        <f>SUM(AC95:AC110)/AC17</f>
        <v>0.96228490773605646</v>
      </c>
      <c r="AD40" s="47">
        <f>AD93/AD17</f>
        <v>0.92769508831713687</v>
      </c>
      <c r="AE40" s="8"/>
      <c r="AF40" s="47">
        <f>D40/AF17</f>
        <v>0.91607274591588694</v>
      </c>
      <c r="AG40" s="54"/>
      <c r="AH40" s="61"/>
      <c r="AI40" s="59">
        <f>SUM(AI27:AI39)</f>
        <v>25755.304187500002</v>
      </c>
      <c r="AJ40" s="59">
        <f t="shared" ref="AJ40:AN40" si="80">SUM(AJ27:AJ39)</f>
        <v>31845</v>
      </c>
      <c r="AK40" s="59">
        <f t="shared" si="80"/>
        <v>8111.25</v>
      </c>
      <c r="AL40" s="59">
        <f t="shared" si="80"/>
        <v>16049.6958125</v>
      </c>
      <c r="AM40" s="59">
        <f t="shared" si="80"/>
        <v>21164.25</v>
      </c>
      <c r="AN40" s="59">
        <f t="shared" si="80"/>
        <v>102925.5</v>
      </c>
      <c r="AO40" s="57"/>
      <c r="AP40" s="57">
        <f t="shared" si="34"/>
        <v>33019.620753205127</v>
      </c>
      <c r="AQ40" s="57">
        <f t="shared" si="34"/>
        <v>40826.923076923078</v>
      </c>
      <c r="AR40" s="57">
        <f t="shared" si="34"/>
        <v>10399.038461538461</v>
      </c>
      <c r="AS40" s="57">
        <f t="shared" si="34"/>
        <v>20576.533092948717</v>
      </c>
      <c r="AT40" s="57">
        <f t="shared" si="34"/>
        <v>27133.653846153844</v>
      </c>
      <c r="AU40" s="57">
        <f t="shared" si="34"/>
        <v>131955.76923076922</v>
      </c>
      <c r="AV40" s="57"/>
      <c r="AW40" s="57"/>
      <c r="AX40" s="57"/>
      <c r="AY40" s="57"/>
      <c r="AZ40" s="57"/>
      <c r="BA40" s="57"/>
      <c r="BB40" s="57"/>
      <c r="BC40" s="57">
        <f>SUM(BC27:BC39)</f>
        <v>4108.829338942307</v>
      </c>
      <c r="BD40" s="57">
        <f t="shared" ref="BD40:BG40" si="81">SUM(BD27:BD39)</f>
        <v>16333.01282051282</v>
      </c>
      <c r="BE40" s="57">
        <f t="shared" si="81"/>
        <v>0</v>
      </c>
      <c r="BF40" s="57">
        <f t="shared" si="81"/>
        <v>6400.8640424679479</v>
      </c>
      <c r="BG40" s="57">
        <f t="shared" si="81"/>
        <v>3269.2307692307691</v>
      </c>
      <c r="BH40" s="57"/>
      <c r="BI40" s="57"/>
      <c r="BJ40" s="57"/>
      <c r="BK40" s="57"/>
      <c r="BL40" s="57"/>
      <c r="BM40" s="57"/>
      <c r="BN40" s="57"/>
      <c r="BO40" s="57">
        <f>SUM(BO27:BO39)</f>
        <v>23718.483721955126</v>
      </c>
      <c r="BP40" s="57">
        <f t="shared" ref="BP40:BS40" si="82">SUM(BP27:BP39)</f>
        <v>24493.910256410254</v>
      </c>
      <c r="BQ40" s="57">
        <f t="shared" si="82"/>
        <v>10399.038461538461</v>
      </c>
      <c r="BR40" s="57">
        <f t="shared" si="82"/>
        <v>14175.669050480768</v>
      </c>
      <c r="BS40" s="57">
        <f t="shared" si="82"/>
        <v>23864.423076923078</v>
      </c>
      <c r="BT40" s="57"/>
      <c r="BU40" s="57"/>
      <c r="BV40" s="57"/>
      <c r="BW40" s="57"/>
      <c r="BX40" s="57"/>
      <c r="BY40" s="57"/>
      <c r="BZ40" s="57"/>
      <c r="CA40" s="57">
        <f>SUM(CA27:CA39)</f>
        <v>5192.3076923076915</v>
      </c>
      <c r="CB40" s="57">
        <f t="shared" ref="CB40:CE40" si="83">SUM(CB27:CB39)</f>
        <v>0</v>
      </c>
      <c r="CC40" s="57">
        <f t="shared" si="83"/>
        <v>0</v>
      </c>
      <c r="CD40" s="57">
        <f t="shared" si="83"/>
        <v>0</v>
      </c>
      <c r="CE40" s="57">
        <f t="shared" si="83"/>
        <v>0</v>
      </c>
    </row>
    <row r="41" spans="1:83" x14ac:dyDescent="0.25">
      <c r="BC41" s="84">
        <f>SUM(BC40:BE40)</f>
        <v>20441.842159455126</v>
      </c>
      <c r="BD41" s="84"/>
      <c r="BE41" s="84"/>
      <c r="BF41" s="7">
        <f>BF40</f>
        <v>6400.8640424679479</v>
      </c>
      <c r="BG41" s="7">
        <f>BG40</f>
        <v>3269.2307692307691</v>
      </c>
      <c r="BO41" s="84">
        <f>SUM(BO40:BQ40)</f>
        <v>58611.432439903838</v>
      </c>
      <c r="BP41" s="84"/>
      <c r="BQ41" s="84"/>
      <c r="BR41" s="7">
        <f>BR40</f>
        <v>14175.669050480768</v>
      </c>
      <c r="BS41" s="7">
        <f>BS40</f>
        <v>23864.423076923078</v>
      </c>
      <c r="CA41" s="84">
        <f>SUM(CA40:CC40)</f>
        <v>5192.3076923076915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101248</v>
      </c>
      <c r="BC42" s="71">
        <f>BC41/4.33</f>
        <v>4720.979713500029</v>
      </c>
      <c r="BD42" s="71"/>
      <c r="BE42" s="71"/>
      <c r="BF42" s="7">
        <f>BF41/4.33</f>
        <v>1478.2595941034522</v>
      </c>
      <c r="BG42" s="7">
        <f>BG41/4.33</f>
        <v>755.01865340202517</v>
      </c>
      <c r="BO42" s="71">
        <f>BO41/4.33</f>
        <v>13536.127584273403</v>
      </c>
      <c r="BP42" s="71"/>
      <c r="BQ42" s="71"/>
      <c r="BR42" s="7">
        <f>BR41/4.33</f>
        <v>3273.8265705498311</v>
      </c>
      <c r="BS42" s="7">
        <f>BS41/4.33</f>
        <v>5511.4141055249602</v>
      </c>
      <c r="CA42" s="71">
        <f>CA41/4.33</f>
        <v>1199.1472730502751</v>
      </c>
      <c r="CB42" s="71"/>
      <c r="CC42" s="71"/>
      <c r="CD42" s="7">
        <f>CD41/4.33</f>
        <v>0</v>
      </c>
      <c r="CE42" s="7">
        <f>CE41/4.33</f>
        <v>0</v>
      </c>
    </row>
    <row r="43" spans="1:83" x14ac:dyDescent="0.25">
      <c r="B43" s="34"/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1" si="84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84"/>
        <v>120</v>
      </c>
      <c r="K46" s="7">
        <f>C46</f>
        <v>120</v>
      </c>
      <c r="P46" s="7">
        <f t="shared" ref="P46:P90" si="85">SUM(M46:O46)</f>
        <v>0</v>
      </c>
      <c r="Y46" s="7">
        <f t="shared" ref="Y46:Y92" si="86">SUM(V46:X46)</f>
        <v>0</v>
      </c>
      <c r="AD46" s="7">
        <f t="shared" ref="AD46:AD92" si="87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84"/>
        <v>0</v>
      </c>
      <c r="K47" s="7">
        <f t="shared" ref="K47:K92" si="88">SUM(F47:J47)</f>
        <v>0</v>
      </c>
      <c r="P47" s="7">
        <f t="shared" si="85"/>
        <v>0</v>
      </c>
      <c r="Y47" s="7">
        <f t="shared" si="86"/>
        <v>0</v>
      </c>
      <c r="AD47" s="7">
        <f t="shared" si="87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287.5</v>
      </c>
      <c r="D48" s="36">
        <f t="shared" si="84"/>
        <v>287.5</v>
      </c>
      <c r="K48" s="7">
        <f t="shared" si="88"/>
        <v>0</v>
      </c>
      <c r="P48" s="7">
        <f t="shared" si="85"/>
        <v>0</v>
      </c>
      <c r="T48" s="7">
        <f>2.5%*T66</f>
        <v>143.75</v>
      </c>
      <c r="Y48" s="7">
        <f t="shared" si="86"/>
        <v>0</v>
      </c>
      <c r="AD48" s="7">
        <f>2.5%*AD66</f>
        <v>143.75</v>
      </c>
    </row>
    <row r="49" spans="1:30" x14ac:dyDescent="0.25">
      <c r="A49" s="26"/>
      <c r="B49" s="29" t="s">
        <v>85</v>
      </c>
      <c r="C49" s="36">
        <v>200</v>
      </c>
      <c r="D49" s="36">
        <f t="shared" si="84"/>
        <v>200</v>
      </c>
      <c r="K49" s="7">
        <f t="shared" si="88"/>
        <v>0</v>
      </c>
      <c r="T49" s="7">
        <f>C49</f>
        <v>200</v>
      </c>
    </row>
    <row r="50" spans="1:30" x14ac:dyDescent="0.25">
      <c r="A50" s="26"/>
      <c r="B50" s="51" t="s">
        <v>100</v>
      </c>
      <c r="C50" s="36">
        <v>250</v>
      </c>
      <c r="D50" s="36">
        <f t="shared" si="84"/>
        <v>250</v>
      </c>
      <c r="K50" s="7">
        <f t="shared" si="88"/>
        <v>0</v>
      </c>
      <c r="P50" s="7">
        <f t="shared" si="85"/>
        <v>0</v>
      </c>
      <c r="Y50" s="7">
        <f>C50</f>
        <v>250</v>
      </c>
    </row>
    <row r="51" spans="1:30" x14ac:dyDescent="0.25">
      <c r="A51" s="26">
        <v>100000017902</v>
      </c>
      <c r="B51" s="51" t="s">
        <v>97</v>
      </c>
      <c r="C51" s="43">
        <v>2150</v>
      </c>
      <c r="D51" s="36">
        <f t="shared" si="84"/>
        <v>2150</v>
      </c>
      <c r="K51" s="7">
        <f t="shared" si="88"/>
        <v>0</v>
      </c>
      <c r="P51" s="7">
        <f t="shared" si="85"/>
        <v>0</v>
      </c>
      <c r="T51" s="7">
        <f>C51*0.15</f>
        <v>322.5</v>
      </c>
      <c r="Y51" s="7">
        <f t="shared" si="86"/>
        <v>0</v>
      </c>
      <c r="AD51" s="7">
        <f>C51*0.85</f>
        <v>1827.5</v>
      </c>
    </row>
    <row r="52" spans="1:30" x14ac:dyDescent="0.25">
      <c r="A52" s="26">
        <v>100000029991</v>
      </c>
      <c r="B52" s="51" t="s">
        <v>98</v>
      </c>
      <c r="C52" s="36">
        <v>50</v>
      </c>
      <c r="D52" s="36">
        <f t="shared" si="84"/>
        <v>50</v>
      </c>
      <c r="K52" s="7">
        <f t="shared" si="88"/>
        <v>0</v>
      </c>
      <c r="P52" s="7">
        <f t="shared" si="85"/>
        <v>0</v>
      </c>
      <c r="T52" s="7">
        <f>C52</f>
        <v>50</v>
      </c>
      <c r="Y52" s="7">
        <f t="shared" si="86"/>
        <v>0</v>
      </c>
    </row>
    <row r="53" spans="1:30" x14ac:dyDescent="0.25">
      <c r="A53" s="26">
        <v>100000006034</v>
      </c>
      <c r="B53" s="51" t="s">
        <v>99</v>
      </c>
      <c r="C53" s="36">
        <v>21000</v>
      </c>
      <c r="D53" s="36">
        <f t="shared" si="84"/>
        <v>21000</v>
      </c>
      <c r="K53" s="7">
        <v>0</v>
      </c>
      <c r="P53" s="7">
        <f>C53*0.91</f>
        <v>19110</v>
      </c>
      <c r="Y53" s="7">
        <f>C53*0.09</f>
        <v>1890</v>
      </c>
      <c r="AD53" s="7">
        <f t="shared" si="87"/>
        <v>0</v>
      </c>
    </row>
    <row r="54" spans="1:30" x14ac:dyDescent="0.25">
      <c r="A54" s="26">
        <v>100000029187</v>
      </c>
      <c r="B54" s="27" t="s">
        <v>31</v>
      </c>
      <c r="C54" s="45">
        <v>8500</v>
      </c>
      <c r="D54" s="36">
        <f t="shared" si="84"/>
        <v>8500</v>
      </c>
      <c r="F54" s="37"/>
      <c r="G54" s="37"/>
      <c r="H54" s="37"/>
      <c r="I54" s="37"/>
      <c r="J54" s="37"/>
      <c r="K54" s="7">
        <v>0</v>
      </c>
      <c r="P54" s="7">
        <f>C54*0.4</f>
        <v>3400</v>
      </c>
      <c r="Y54" s="7">
        <v>0</v>
      </c>
      <c r="AD54" s="7">
        <f>C54*0.6</f>
        <v>5100</v>
      </c>
    </row>
    <row r="55" spans="1:30" x14ac:dyDescent="0.25">
      <c r="A55" s="26">
        <v>100000006028</v>
      </c>
      <c r="B55" s="27" t="s">
        <v>32</v>
      </c>
      <c r="C55" s="45">
        <v>0</v>
      </c>
      <c r="D55" s="36">
        <f t="shared" si="84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85"/>
        <v>0</v>
      </c>
      <c r="Y55" s="7">
        <f t="shared" si="86"/>
        <v>0</v>
      </c>
      <c r="AD55" s="7">
        <f t="shared" si="87"/>
        <v>0</v>
      </c>
    </row>
    <row r="56" spans="1:30" x14ac:dyDescent="0.25">
      <c r="A56" s="26">
        <v>100000006029</v>
      </c>
      <c r="B56" s="27" t="s">
        <v>33</v>
      </c>
      <c r="C56" s="45"/>
      <c r="D56" s="36">
        <f t="shared" si="84"/>
        <v>0</v>
      </c>
      <c r="F56" s="38"/>
      <c r="G56" s="38"/>
      <c r="H56" s="38"/>
      <c r="I56" s="38"/>
      <c r="J56" s="38"/>
      <c r="K56" s="7">
        <f t="shared" ref="K56:K58" si="89">C56</f>
        <v>0</v>
      </c>
      <c r="P56" s="7">
        <f t="shared" si="85"/>
        <v>0</v>
      </c>
      <c r="Y56" s="7">
        <f t="shared" si="86"/>
        <v>0</v>
      </c>
      <c r="AD56" s="7">
        <f t="shared" si="87"/>
        <v>0</v>
      </c>
    </row>
    <row r="57" spans="1:30" x14ac:dyDescent="0.25">
      <c r="A57" s="26">
        <v>100000006030</v>
      </c>
      <c r="B57" s="27" t="s">
        <v>34</v>
      </c>
      <c r="C57" s="45">
        <v>80</v>
      </c>
      <c r="D57" s="36">
        <f t="shared" si="84"/>
        <v>80</v>
      </c>
      <c r="F57" s="38"/>
      <c r="G57" s="38"/>
      <c r="H57" s="38"/>
      <c r="I57" s="38"/>
      <c r="J57" s="38"/>
      <c r="K57" s="7">
        <f t="shared" si="89"/>
        <v>80</v>
      </c>
      <c r="P57" s="7">
        <f t="shared" si="85"/>
        <v>0</v>
      </c>
      <c r="Y57" s="7">
        <f t="shared" si="86"/>
        <v>0</v>
      </c>
      <c r="AD57" s="7">
        <f t="shared" si="87"/>
        <v>0</v>
      </c>
    </row>
    <row r="58" spans="1:30" x14ac:dyDescent="0.25">
      <c r="A58" s="26">
        <v>100000006031</v>
      </c>
      <c r="B58" s="27" t="s">
        <v>35</v>
      </c>
      <c r="C58" s="45">
        <v>255</v>
      </c>
      <c r="D58" s="36">
        <f t="shared" si="84"/>
        <v>255</v>
      </c>
      <c r="F58" s="38"/>
      <c r="G58" s="38"/>
      <c r="H58" s="38"/>
      <c r="I58" s="38"/>
      <c r="J58" s="38"/>
      <c r="K58" s="7">
        <f t="shared" si="89"/>
        <v>255</v>
      </c>
      <c r="P58" s="7">
        <f t="shared" si="85"/>
        <v>0</v>
      </c>
      <c r="Y58" s="7">
        <f t="shared" si="86"/>
        <v>0</v>
      </c>
      <c r="AD58" s="7">
        <f t="shared" si="87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84"/>
        <v>0</v>
      </c>
      <c r="F59" s="38"/>
      <c r="G59" s="38"/>
      <c r="H59" s="38"/>
      <c r="I59" s="38"/>
      <c r="J59" s="38"/>
      <c r="K59" s="7">
        <f t="shared" si="88"/>
        <v>0</v>
      </c>
      <c r="P59" s="7">
        <f t="shared" si="85"/>
        <v>0</v>
      </c>
      <c r="Y59" s="7">
        <f t="shared" si="86"/>
        <v>0</v>
      </c>
      <c r="AD59" s="7">
        <f t="shared" si="87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84"/>
        <v>0</v>
      </c>
      <c r="F60" s="38"/>
      <c r="G60" s="38"/>
      <c r="H60" s="38"/>
      <c r="I60" s="38"/>
      <c r="J60" s="38"/>
      <c r="K60" s="7">
        <f t="shared" si="88"/>
        <v>0</v>
      </c>
      <c r="P60" s="7">
        <f t="shared" si="85"/>
        <v>0</v>
      </c>
      <c r="Y60" s="7">
        <f t="shared" si="86"/>
        <v>0</v>
      </c>
      <c r="AD60" s="7">
        <f t="shared" si="87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84"/>
        <v>0</v>
      </c>
      <c r="F61" s="38"/>
      <c r="G61" s="38"/>
      <c r="H61" s="38"/>
      <c r="I61" s="38"/>
      <c r="J61" s="38"/>
      <c r="K61" s="7">
        <f t="shared" si="88"/>
        <v>0</v>
      </c>
      <c r="P61" s="7">
        <f t="shared" si="85"/>
        <v>0</v>
      </c>
      <c r="Y61" s="7">
        <f t="shared" si="86"/>
        <v>0</v>
      </c>
      <c r="AD61" s="7">
        <f t="shared" si="87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84"/>
        <v>0</v>
      </c>
      <c r="F62" s="38"/>
      <c r="G62" s="38"/>
      <c r="H62" s="38"/>
      <c r="I62" s="38"/>
      <c r="J62" s="38"/>
      <c r="K62" s="7">
        <f t="shared" si="88"/>
        <v>0</v>
      </c>
      <c r="P62" s="7">
        <f t="shared" si="85"/>
        <v>0</v>
      </c>
      <c r="Y62" s="7">
        <f t="shared" si="86"/>
        <v>0</v>
      </c>
      <c r="AD62" s="7">
        <f t="shared" si="87"/>
        <v>0</v>
      </c>
    </row>
    <row r="63" spans="1:30" x14ac:dyDescent="0.25">
      <c r="A63" s="26">
        <v>100000005259</v>
      </c>
      <c r="B63" s="27" t="s">
        <v>40</v>
      </c>
      <c r="C63" s="45">
        <v>7500</v>
      </c>
      <c r="D63" s="36">
        <f t="shared" si="84"/>
        <v>7500</v>
      </c>
      <c r="F63" s="38"/>
      <c r="G63" s="38"/>
      <c r="H63" s="38"/>
      <c r="I63" s="38"/>
      <c r="J63" s="38"/>
      <c r="K63" s="7">
        <f t="shared" si="88"/>
        <v>0</v>
      </c>
      <c r="P63" s="7">
        <f t="shared" si="85"/>
        <v>0</v>
      </c>
      <c r="Y63" s="7">
        <f>C63*0.85</f>
        <v>6375</v>
      </c>
      <c r="AD63" s="7">
        <f>C63*0.15</f>
        <v>1125</v>
      </c>
    </row>
    <row r="64" spans="1:30" x14ac:dyDescent="0.25">
      <c r="A64" s="26">
        <v>100000002986</v>
      </c>
      <c r="B64" s="27" t="s">
        <v>41</v>
      </c>
      <c r="C64" s="45">
        <v>19000</v>
      </c>
      <c r="D64" s="36">
        <f t="shared" si="84"/>
        <v>19000</v>
      </c>
      <c r="K64" s="7">
        <f>C64*0.35</f>
        <v>6650</v>
      </c>
      <c r="P64" s="7">
        <v>0</v>
      </c>
      <c r="Y64" s="7">
        <f>C64*0.37</f>
        <v>7030</v>
      </c>
      <c r="AD64" s="7">
        <f>C64*0.28</f>
        <v>5320.0000000000009</v>
      </c>
    </row>
    <row r="65" spans="1:32" x14ac:dyDescent="0.25">
      <c r="A65" s="26">
        <v>100000017891</v>
      </c>
      <c r="B65" s="51" t="s">
        <v>101</v>
      </c>
      <c r="C65" s="45">
        <v>16000</v>
      </c>
      <c r="D65" s="36">
        <f t="shared" si="84"/>
        <v>16000</v>
      </c>
      <c r="K65" s="7">
        <f>C65*0.65</f>
        <v>10400</v>
      </c>
      <c r="P65" s="7">
        <f>C65*0.35</f>
        <v>5600</v>
      </c>
      <c r="Y65" s="7">
        <v>0</v>
      </c>
      <c r="AD65" s="7">
        <f>C65*0</f>
        <v>0</v>
      </c>
    </row>
    <row r="66" spans="1:32" x14ac:dyDescent="0.25">
      <c r="A66" s="26">
        <v>100000018687</v>
      </c>
      <c r="B66" s="51" t="s">
        <v>102</v>
      </c>
      <c r="C66" s="43">
        <v>11500</v>
      </c>
      <c r="D66" s="36">
        <f t="shared" si="84"/>
        <v>11500</v>
      </c>
      <c r="K66" s="7">
        <f t="shared" si="88"/>
        <v>0</v>
      </c>
      <c r="P66" s="7">
        <f t="shared" si="85"/>
        <v>0</v>
      </c>
      <c r="T66" s="7">
        <f>C66*0.5</f>
        <v>5750</v>
      </c>
      <c r="Y66" s="7">
        <f t="shared" si="86"/>
        <v>0</v>
      </c>
      <c r="AD66" s="7">
        <f>C66*0.5</f>
        <v>5750</v>
      </c>
      <c r="AF66" s="7">
        <f>AD66*4.6%</f>
        <v>264.5</v>
      </c>
    </row>
    <row r="67" spans="1:32" x14ac:dyDescent="0.25">
      <c r="A67" s="26">
        <v>100000006037</v>
      </c>
      <c r="B67" s="27" t="s">
        <v>43</v>
      </c>
      <c r="C67" s="43">
        <f>4500-120</f>
        <v>4380</v>
      </c>
      <c r="D67" s="36">
        <f t="shared" si="84"/>
        <v>4380</v>
      </c>
      <c r="K67" s="7">
        <f>C67</f>
        <v>4380</v>
      </c>
      <c r="P67" s="7">
        <f t="shared" si="85"/>
        <v>0</v>
      </c>
      <c r="Y67" s="7">
        <f t="shared" si="86"/>
        <v>0</v>
      </c>
      <c r="AD67" s="7">
        <f t="shared" si="87"/>
        <v>0</v>
      </c>
    </row>
    <row r="68" spans="1:32" x14ac:dyDescent="0.25">
      <c r="A68" s="26">
        <v>100000002985</v>
      </c>
      <c r="B68" s="25" t="s">
        <v>131</v>
      </c>
      <c r="C68" s="43">
        <v>0</v>
      </c>
      <c r="D68" s="36">
        <f t="shared" si="84"/>
        <v>0</v>
      </c>
      <c r="K68" s="7">
        <f t="shared" ref="K68:K69" si="90">C68</f>
        <v>0</v>
      </c>
      <c r="P68" s="7">
        <f t="shared" si="85"/>
        <v>0</v>
      </c>
      <c r="Y68" s="7">
        <f t="shared" si="86"/>
        <v>0</v>
      </c>
      <c r="AD68" s="7">
        <f t="shared" si="87"/>
        <v>0</v>
      </c>
    </row>
    <row r="69" spans="1:32" x14ac:dyDescent="0.25">
      <c r="A69" s="26">
        <v>100000002988</v>
      </c>
      <c r="B69" s="25" t="s">
        <v>132</v>
      </c>
      <c r="C69" s="43">
        <v>0</v>
      </c>
      <c r="D69" s="36">
        <f t="shared" si="84"/>
        <v>0</v>
      </c>
      <c r="K69" s="7">
        <f t="shared" si="90"/>
        <v>0</v>
      </c>
      <c r="P69" s="7">
        <f t="shared" si="85"/>
        <v>0</v>
      </c>
      <c r="Y69" s="7">
        <f t="shared" si="86"/>
        <v>0</v>
      </c>
      <c r="AD69" s="7">
        <f t="shared" si="87"/>
        <v>0</v>
      </c>
    </row>
    <row r="70" spans="1:32" x14ac:dyDescent="0.25">
      <c r="A70" s="26">
        <v>100000002974</v>
      </c>
      <c r="B70" s="27" t="s">
        <v>47</v>
      </c>
      <c r="C70" s="45">
        <v>4500</v>
      </c>
      <c r="D70" s="36">
        <f t="shared" si="84"/>
        <v>4500</v>
      </c>
      <c r="K70" s="7">
        <f>C70*0.1</f>
        <v>450</v>
      </c>
      <c r="P70" s="7">
        <f>C70*0.83</f>
        <v>3735</v>
      </c>
      <c r="Y70" s="7">
        <f t="shared" si="86"/>
        <v>0</v>
      </c>
      <c r="AD70" s="7">
        <f>C70*0.07</f>
        <v>315.00000000000006</v>
      </c>
    </row>
    <row r="71" spans="1:32" x14ac:dyDescent="0.25">
      <c r="A71" s="26">
        <v>100000002976</v>
      </c>
      <c r="B71" s="27" t="s">
        <v>48</v>
      </c>
      <c r="C71" s="45">
        <v>2100</v>
      </c>
      <c r="D71" s="36">
        <f t="shared" si="84"/>
        <v>2100</v>
      </c>
      <c r="K71" s="7">
        <f>C71-Y71-AD71</f>
        <v>676.5250987500001</v>
      </c>
      <c r="P71" s="7">
        <f t="shared" ref="P71:P74" si="91">SUM(M71:O71)</f>
        <v>0</v>
      </c>
      <c r="Y71" s="7">
        <f>0.03*Y17*0.74</f>
        <v>373.47490124999996</v>
      </c>
      <c r="AD71" s="7">
        <f>C71*0.5</f>
        <v>1050</v>
      </c>
    </row>
    <row r="72" spans="1:32" x14ac:dyDescent="0.25">
      <c r="A72" s="26">
        <v>100000002977</v>
      </c>
      <c r="B72" s="27" t="s">
        <v>49</v>
      </c>
      <c r="C72" s="45">
        <v>376</v>
      </c>
      <c r="D72" s="36">
        <f t="shared" si="84"/>
        <v>376</v>
      </c>
      <c r="K72" s="7">
        <f t="shared" ref="K72:K74" si="92">C72-Y72-AD72</f>
        <v>122.38954437500001</v>
      </c>
      <c r="P72" s="7">
        <f t="shared" si="91"/>
        <v>0</v>
      </c>
      <c r="Y72" s="7">
        <f>0.03*Y17*0.13</f>
        <v>65.610455625</v>
      </c>
      <c r="AD72" s="7">
        <f>C72*0.5</f>
        <v>188</v>
      </c>
    </row>
    <row r="73" spans="1:32" x14ac:dyDescent="0.25">
      <c r="A73" s="26">
        <v>100000002978</v>
      </c>
      <c r="B73" s="27" t="s">
        <v>50</v>
      </c>
      <c r="C73" s="45">
        <v>134</v>
      </c>
      <c r="D73" s="36">
        <f t="shared" si="84"/>
        <v>134</v>
      </c>
      <c r="K73" s="7">
        <f t="shared" si="92"/>
        <v>93.624335000000002</v>
      </c>
      <c r="P73" s="7">
        <f t="shared" si="91"/>
        <v>0</v>
      </c>
      <c r="Y73" s="7">
        <f>0.03*Y17*0.08</f>
        <v>40.375664999999998</v>
      </c>
    </row>
    <row r="74" spans="1:32" x14ac:dyDescent="0.25">
      <c r="A74" s="26">
        <v>100000015941</v>
      </c>
      <c r="B74" s="27" t="s">
        <v>51</v>
      </c>
      <c r="C74" s="45">
        <v>120</v>
      </c>
      <c r="D74" s="36">
        <f t="shared" si="84"/>
        <v>120</v>
      </c>
      <c r="K74" s="7">
        <f t="shared" si="92"/>
        <v>94.765209374999998</v>
      </c>
      <c r="P74" s="7">
        <f t="shared" si="91"/>
        <v>0</v>
      </c>
      <c r="Y74" s="7">
        <f>0.03*Y17*0.05</f>
        <v>25.234790624999999</v>
      </c>
    </row>
    <row r="75" spans="1:32" x14ac:dyDescent="0.25">
      <c r="A75" s="26">
        <v>100000017899</v>
      </c>
      <c r="B75" s="27" t="s">
        <v>52</v>
      </c>
      <c r="C75" s="74">
        <f>C66*1%</f>
        <v>115</v>
      </c>
      <c r="D75" s="36">
        <f t="shared" si="84"/>
        <v>115</v>
      </c>
      <c r="K75" s="7">
        <f t="shared" si="88"/>
        <v>0</v>
      </c>
      <c r="P75" s="7">
        <f t="shared" si="85"/>
        <v>0</v>
      </c>
      <c r="T75" s="74">
        <f>T66*1%</f>
        <v>57.5</v>
      </c>
      <c r="Y75" s="7">
        <f t="shared" si="86"/>
        <v>0</v>
      </c>
      <c r="AD75" s="74">
        <f>AD66*1%</f>
        <v>57.5</v>
      </c>
    </row>
    <row r="76" spans="1:32" x14ac:dyDescent="0.25">
      <c r="A76" s="26">
        <v>100000017897</v>
      </c>
      <c r="B76" s="27" t="s">
        <v>53</v>
      </c>
      <c r="C76" s="43">
        <f>C66*5%</f>
        <v>575</v>
      </c>
      <c r="D76" s="36">
        <f t="shared" si="84"/>
        <v>575</v>
      </c>
      <c r="K76" s="7">
        <f t="shared" si="88"/>
        <v>0</v>
      </c>
      <c r="P76" s="7">
        <f t="shared" si="85"/>
        <v>0</v>
      </c>
      <c r="T76" s="43">
        <f>T66*5%</f>
        <v>287.5</v>
      </c>
      <c r="Y76" s="7">
        <f t="shared" si="86"/>
        <v>0</v>
      </c>
      <c r="AD76" s="43">
        <f>AD66*5%</f>
        <v>287.5</v>
      </c>
    </row>
    <row r="77" spans="1:32" x14ac:dyDescent="0.25">
      <c r="A77" s="26"/>
      <c r="B77" s="27" t="s">
        <v>121</v>
      </c>
      <c r="C77" s="36"/>
      <c r="D77" s="36">
        <f t="shared" si="84"/>
        <v>0</v>
      </c>
      <c r="K77" s="7">
        <f>C77</f>
        <v>0</v>
      </c>
    </row>
    <row r="78" spans="1:32" x14ac:dyDescent="0.25">
      <c r="A78" s="26"/>
      <c r="B78" s="27" t="s">
        <v>122</v>
      </c>
      <c r="C78" s="36"/>
      <c r="D78" s="36">
        <f t="shared" si="84"/>
        <v>0</v>
      </c>
      <c r="K78" s="7">
        <f t="shared" ref="K78:K80" si="93">C78</f>
        <v>0</v>
      </c>
    </row>
    <row r="79" spans="1:32" x14ac:dyDescent="0.25">
      <c r="A79" s="26"/>
      <c r="B79" s="27" t="s">
        <v>127</v>
      </c>
      <c r="C79" s="36"/>
      <c r="D79" s="36">
        <f t="shared" si="84"/>
        <v>0</v>
      </c>
      <c r="K79" s="7">
        <f t="shared" si="93"/>
        <v>0</v>
      </c>
    </row>
    <row r="80" spans="1:32" x14ac:dyDescent="0.25">
      <c r="A80" s="26"/>
      <c r="B80" s="27" t="s">
        <v>128</v>
      </c>
      <c r="C80" s="36"/>
      <c r="D80" s="36">
        <f t="shared" si="84"/>
        <v>0</v>
      </c>
      <c r="K80" s="7">
        <f t="shared" si="93"/>
        <v>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84"/>
        <v>0</v>
      </c>
      <c r="K81" s="7">
        <f t="shared" si="88"/>
        <v>0</v>
      </c>
      <c r="P81" s="7">
        <f t="shared" si="85"/>
        <v>0</v>
      </c>
      <c r="Y81" s="7">
        <f t="shared" si="86"/>
        <v>0</v>
      </c>
      <c r="AD81" s="7">
        <f t="shared" si="87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84"/>
        <v>700</v>
      </c>
      <c r="K82" s="7">
        <f>C82</f>
        <v>700</v>
      </c>
      <c r="P82" s="7">
        <f t="shared" si="85"/>
        <v>0</v>
      </c>
      <c r="Y82" s="7">
        <f t="shared" si="86"/>
        <v>0</v>
      </c>
      <c r="AD82" s="7">
        <f t="shared" si="87"/>
        <v>0</v>
      </c>
    </row>
    <row r="83" spans="1:32" x14ac:dyDescent="0.25">
      <c r="A83" s="26">
        <v>100000021592</v>
      </c>
      <c r="B83" s="27" t="s">
        <v>56</v>
      </c>
      <c r="C83" s="45">
        <v>300</v>
      </c>
      <c r="D83" s="36">
        <f t="shared" si="84"/>
        <v>300</v>
      </c>
      <c r="K83" s="7">
        <f t="shared" si="88"/>
        <v>0</v>
      </c>
      <c r="P83" s="7">
        <f t="shared" si="85"/>
        <v>0</v>
      </c>
      <c r="T83" s="7">
        <f>C83</f>
        <v>300</v>
      </c>
      <c r="Y83" s="7">
        <f t="shared" si="86"/>
        <v>0</v>
      </c>
    </row>
    <row r="84" spans="1:32" x14ac:dyDescent="0.25">
      <c r="A84" s="26">
        <v>100000023573</v>
      </c>
      <c r="B84" s="27" t="s">
        <v>135</v>
      </c>
      <c r="C84" s="43">
        <v>140</v>
      </c>
      <c r="D84" s="36">
        <f t="shared" si="84"/>
        <v>140</v>
      </c>
      <c r="K84" s="7">
        <f t="shared" si="88"/>
        <v>0</v>
      </c>
      <c r="P84" s="7">
        <f t="shared" si="85"/>
        <v>0</v>
      </c>
      <c r="T84" s="7">
        <f>C84</f>
        <v>140</v>
      </c>
      <c r="Y84" s="7">
        <f t="shared" si="86"/>
        <v>0</v>
      </c>
      <c r="AD84" s="7">
        <f t="shared" si="87"/>
        <v>0</v>
      </c>
    </row>
    <row r="85" spans="1:32" x14ac:dyDescent="0.25">
      <c r="A85" s="26">
        <v>100000023571</v>
      </c>
      <c r="B85" s="27" t="s">
        <v>136</v>
      </c>
      <c r="C85" s="43">
        <v>560</v>
      </c>
      <c r="D85" s="36">
        <f t="shared" si="84"/>
        <v>560</v>
      </c>
      <c r="K85" s="7">
        <f t="shared" si="88"/>
        <v>0</v>
      </c>
      <c r="P85" s="7">
        <f t="shared" si="85"/>
        <v>0</v>
      </c>
      <c r="T85" s="7">
        <f t="shared" ref="T85:T87" si="94">C85</f>
        <v>560</v>
      </c>
      <c r="Y85" s="7">
        <f t="shared" si="86"/>
        <v>0</v>
      </c>
      <c r="AD85" s="7">
        <f t="shared" si="87"/>
        <v>0</v>
      </c>
    </row>
    <row r="86" spans="1:32" x14ac:dyDescent="0.25">
      <c r="A86" s="26">
        <v>100000023572</v>
      </c>
      <c r="B86" s="27" t="s">
        <v>61</v>
      </c>
      <c r="C86" s="43">
        <v>300</v>
      </c>
      <c r="D86" s="36">
        <f t="shared" si="84"/>
        <v>300</v>
      </c>
      <c r="K86" s="7">
        <f t="shared" si="88"/>
        <v>0</v>
      </c>
      <c r="P86" s="7">
        <f t="shared" si="85"/>
        <v>0</v>
      </c>
      <c r="T86" s="7">
        <f t="shared" si="94"/>
        <v>300</v>
      </c>
      <c r="Y86" s="7">
        <f t="shared" si="86"/>
        <v>0</v>
      </c>
      <c r="AD86" s="7">
        <f t="shared" si="87"/>
        <v>0</v>
      </c>
    </row>
    <row r="87" spans="1:32" x14ac:dyDescent="0.25">
      <c r="A87" s="26">
        <v>100000023574</v>
      </c>
      <c r="B87" s="27" t="s">
        <v>138</v>
      </c>
      <c r="C87" s="43">
        <v>0</v>
      </c>
      <c r="D87" s="36">
        <f t="shared" si="84"/>
        <v>0</v>
      </c>
      <c r="K87" s="7">
        <f t="shared" si="88"/>
        <v>0</v>
      </c>
      <c r="P87" s="7">
        <f t="shared" si="85"/>
        <v>0</v>
      </c>
      <c r="T87" s="7">
        <f t="shared" si="94"/>
        <v>0</v>
      </c>
      <c r="Y87" s="7">
        <f t="shared" si="86"/>
        <v>0</v>
      </c>
      <c r="AD87" s="7">
        <f t="shared" si="87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84"/>
        <v>0</v>
      </c>
      <c r="K88" s="7">
        <f t="shared" si="88"/>
        <v>0</v>
      </c>
      <c r="P88" s="7">
        <f t="shared" si="85"/>
        <v>0</v>
      </c>
      <c r="Y88" s="7">
        <f t="shared" si="86"/>
        <v>0</v>
      </c>
      <c r="AD88" s="7">
        <f t="shared" si="87"/>
        <v>0</v>
      </c>
    </row>
    <row r="89" spans="1:32" x14ac:dyDescent="0.25">
      <c r="A89" s="26">
        <v>100000025748</v>
      </c>
      <c r="B89" s="27" t="s">
        <v>62</v>
      </c>
      <c r="C89" s="45">
        <v>657</v>
      </c>
      <c r="D89" s="36">
        <f t="shared" si="84"/>
        <v>657</v>
      </c>
      <c r="K89" s="7">
        <f>C89</f>
        <v>657</v>
      </c>
      <c r="P89" s="7">
        <f t="shared" si="85"/>
        <v>0</v>
      </c>
      <c r="Y89" s="7">
        <f t="shared" si="86"/>
        <v>0</v>
      </c>
      <c r="AD89" s="7">
        <f t="shared" si="87"/>
        <v>0</v>
      </c>
    </row>
    <row r="90" spans="1:32" x14ac:dyDescent="0.25">
      <c r="A90" s="26">
        <v>100000025749</v>
      </c>
      <c r="B90" s="28" t="s">
        <v>63</v>
      </c>
      <c r="C90" s="45">
        <v>476</v>
      </c>
      <c r="D90" s="36">
        <f t="shared" si="84"/>
        <v>476</v>
      </c>
      <c r="K90" s="7">
        <f>C90</f>
        <v>476</v>
      </c>
      <c r="P90" s="7">
        <f t="shared" si="85"/>
        <v>0</v>
      </c>
      <c r="Y90" s="7">
        <f t="shared" si="86"/>
        <v>0</v>
      </c>
      <c r="AD90" s="7">
        <f t="shared" si="87"/>
        <v>0</v>
      </c>
    </row>
    <row r="91" spans="1:32" x14ac:dyDescent="0.25">
      <c r="A91" s="26"/>
      <c r="B91" s="28" t="s">
        <v>134</v>
      </c>
      <c r="C91" s="45">
        <v>600</v>
      </c>
      <c r="D91" s="36">
        <f t="shared" si="84"/>
        <v>600</v>
      </c>
      <c r="K91" s="7">
        <f>C91</f>
        <v>600</v>
      </c>
    </row>
    <row r="92" spans="1:32" x14ac:dyDescent="0.25">
      <c r="A92" s="26">
        <v>100000025958</v>
      </c>
      <c r="B92" s="27" t="s">
        <v>133</v>
      </c>
      <c r="C92" s="36">
        <v>0</v>
      </c>
      <c r="D92" s="36">
        <f>K92+P92+T92+Y92+AD92</f>
        <v>0</v>
      </c>
      <c r="K92" s="7">
        <f t="shared" si="88"/>
        <v>0</v>
      </c>
      <c r="P92" s="7">
        <f>C92</f>
        <v>0</v>
      </c>
      <c r="Y92" s="7">
        <f t="shared" si="86"/>
        <v>0</v>
      </c>
      <c r="AD92" s="7">
        <f t="shared" si="87"/>
        <v>0</v>
      </c>
    </row>
    <row r="93" spans="1:32" x14ac:dyDescent="0.25">
      <c r="A93" s="77" t="s">
        <v>65</v>
      </c>
      <c r="B93" s="78"/>
      <c r="C93" s="36">
        <f>SUM(C45:C92)</f>
        <v>102925.5</v>
      </c>
      <c r="D93" s="36">
        <f>K93+P93+T93+Y93+AD93</f>
        <v>102925.5</v>
      </c>
      <c r="K93" s="36">
        <f>SUM(K45:K92)</f>
        <v>25755.304187500002</v>
      </c>
      <c r="P93" s="36">
        <f>SUM(P45:P92)</f>
        <v>31845</v>
      </c>
      <c r="S93" s="36"/>
      <c r="T93" s="36">
        <f>SUM(T45:T92)</f>
        <v>8111.25</v>
      </c>
      <c r="Y93" s="36">
        <f>SUM(Y45:Y92)</f>
        <v>16049.695812499998</v>
      </c>
      <c r="AD93" s="36">
        <f>SUM(AD45:AD92)</f>
        <v>21164.25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4500</v>
      </c>
      <c r="D95" s="36">
        <f t="shared" ref="D95:D111" si="95">K95+P95+R95+Y95+AD95</f>
        <v>4500</v>
      </c>
      <c r="H95" s="7">
        <f>K95</f>
        <v>450</v>
      </c>
      <c r="K95" s="36">
        <f>K70+K47</f>
        <v>450</v>
      </c>
      <c r="M95" s="7">
        <f>P95*0.2</f>
        <v>747</v>
      </c>
      <c r="N95" s="7">
        <f>P95*0.4</f>
        <v>1494</v>
      </c>
      <c r="O95" s="7">
        <f>P95*0.4</f>
        <v>1494</v>
      </c>
      <c r="P95" s="36">
        <f>P70+P47</f>
        <v>3735</v>
      </c>
      <c r="R95" s="36">
        <f>T70+T47</f>
        <v>0</v>
      </c>
      <c r="S95" s="36"/>
      <c r="T95" s="36"/>
      <c r="Y95" s="36">
        <f>Y70+Y47</f>
        <v>0</v>
      </c>
      <c r="AC95" s="7">
        <f>AD95</f>
        <v>315.00000000000006</v>
      </c>
      <c r="AD95" s="36">
        <f>AD70+AD47</f>
        <v>315.00000000000006</v>
      </c>
      <c r="AF95" s="36">
        <f>K95+P95+R95+Y95+AD95</f>
        <v>4500</v>
      </c>
    </row>
    <row r="96" spans="1:32" x14ac:dyDescent="0.25">
      <c r="A96" s="26">
        <v>100000002975</v>
      </c>
      <c r="B96" s="29" t="s">
        <v>21</v>
      </c>
      <c r="C96" s="36">
        <f>C74+C73+C72+C71</f>
        <v>2730</v>
      </c>
      <c r="D96" s="36">
        <f t="shared" si="95"/>
        <v>2730</v>
      </c>
      <c r="J96" s="7">
        <f>K96</f>
        <v>987.30418750000013</v>
      </c>
      <c r="K96" s="36">
        <f>K74+K73+K72+K71</f>
        <v>987.30418750000013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-54.570187499999975</v>
      </c>
      <c r="W96" s="7">
        <f>0.06*SUM(W99:W110)</f>
        <v>279.63299999999998</v>
      </c>
      <c r="X96" s="7">
        <f>0.06*SUM(X99:X110)</f>
        <v>279.63299999999998</v>
      </c>
      <c r="Y96" s="36">
        <f>Y74+Y73+Y72+Y71</f>
        <v>504.69581249999999</v>
      </c>
      <c r="AA96" s="7">
        <f>AD96*0.5</f>
        <v>619</v>
      </c>
      <c r="AB96" s="7">
        <f>AD96*0.25</f>
        <v>309.5</v>
      </c>
      <c r="AC96" s="7">
        <f>AD96*0.25</f>
        <v>309.5</v>
      </c>
      <c r="AD96" s="36">
        <f>AD74+AD73+AD72+AD71</f>
        <v>1238</v>
      </c>
      <c r="AF96" s="36">
        <f t="shared" ref="AF96:AF110" si="96">K96+P96+R96+Y96+AD96</f>
        <v>2730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95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96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95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96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19600</v>
      </c>
      <c r="D99" s="36">
        <f t="shared" si="95"/>
        <v>19600</v>
      </c>
      <c r="H99" s="7">
        <f>K99</f>
        <v>7250</v>
      </c>
      <c r="K99" s="36">
        <f>K64+K69+K91</f>
        <v>7250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Y99*0.38</f>
        <v>2671.4</v>
      </c>
      <c r="W99" s="7">
        <f>Y99*0.31</f>
        <v>2179.3000000000002</v>
      </c>
      <c r="X99" s="7">
        <f>Y99*0.31</f>
        <v>2179.3000000000002</v>
      </c>
      <c r="Y99" s="36">
        <f>Y64+Y69+Y91</f>
        <v>7030</v>
      </c>
      <c r="AC99" s="7">
        <f>AD99</f>
        <v>5320.0000000000009</v>
      </c>
      <c r="AD99" s="36">
        <f>AD64+AD69+AD91</f>
        <v>5320.0000000000009</v>
      </c>
      <c r="AF99" s="36">
        <f t="shared" si="96"/>
        <v>19600</v>
      </c>
    </row>
    <row r="100" spans="1:32" x14ac:dyDescent="0.25">
      <c r="A100" s="26">
        <v>100000002989</v>
      </c>
      <c r="B100" s="29" t="s">
        <v>18</v>
      </c>
      <c r="C100" s="36">
        <f>C63</f>
        <v>7500</v>
      </c>
      <c r="D100" s="36">
        <f t="shared" si="95"/>
        <v>7500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1912.5</v>
      </c>
      <c r="W100" s="7">
        <f>Y100*0.35</f>
        <v>2231.25</v>
      </c>
      <c r="X100" s="7">
        <f>Y100*0.35</f>
        <v>2231.25</v>
      </c>
      <c r="Y100" s="36">
        <f>Y63</f>
        <v>6375</v>
      </c>
      <c r="AC100" s="7">
        <f>AD100</f>
        <v>1125</v>
      </c>
      <c r="AD100" s="36">
        <f>AD63</f>
        <v>1125</v>
      </c>
      <c r="AF100" s="36">
        <f t="shared" si="96"/>
        <v>7500</v>
      </c>
    </row>
    <row r="101" spans="1:32" x14ac:dyDescent="0.25">
      <c r="A101" s="26">
        <v>100000006036</v>
      </c>
      <c r="B101" s="29" t="s">
        <v>70</v>
      </c>
      <c r="C101" s="36">
        <f>C67+C46</f>
        <v>4500</v>
      </c>
      <c r="D101" s="36">
        <f t="shared" si="95"/>
        <v>4500</v>
      </c>
      <c r="I101" s="7">
        <f>K101</f>
        <v>4500</v>
      </c>
      <c r="K101" s="36">
        <f>K67+K46</f>
        <v>4500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96"/>
        <v>4500</v>
      </c>
    </row>
    <row r="102" spans="1:32" x14ac:dyDescent="0.25">
      <c r="A102" s="26">
        <v>100000006046</v>
      </c>
      <c r="B102" s="29" t="s">
        <v>71</v>
      </c>
      <c r="C102" s="36">
        <f>C82+C68</f>
        <v>700</v>
      </c>
      <c r="D102" s="36">
        <f t="shared" si="95"/>
        <v>700</v>
      </c>
      <c r="J102" s="7">
        <f>K102</f>
        <v>700</v>
      </c>
      <c r="K102" s="36">
        <f>K82+K68</f>
        <v>700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96"/>
        <v>700</v>
      </c>
    </row>
    <row r="103" spans="1:32" x14ac:dyDescent="0.25">
      <c r="A103" s="26">
        <v>100000006047</v>
      </c>
      <c r="B103" s="29" t="s">
        <v>72</v>
      </c>
      <c r="C103" s="36">
        <f>C53+C92</f>
        <v>21000</v>
      </c>
      <c r="D103" s="36">
        <f t="shared" si="95"/>
        <v>21000</v>
      </c>
      <c r="H103" s="7">
        <f>K103</f>
        <v>0</v>
      </c>
      <c r="K103" s="36">
        <f>K53+K92</f>
        <v>0</v>
      </c>
      <c r="N103" s="7">
        <f>P103*0.5</f>
        <v>9555</v>
      </c>
      <c r="O103" s="7">
        <f>P103*0.5</f>
        <v>9555</v>
      </c>
      <c r="P103" s="36">
        <f>P53+P92</f>
        <v>19110</v>
      </c>
      <c r="R103" s="36">
        <f>T53</f>
        <v>0</v>
      </c>
      <c r="S103" s="36"/>
      <c r="T103" s="36"/>
      <c r="V103" s="7">
        <f>Y103</f>
        <v>1890</v>
      </c>
      <c r="Y103" s="36">
        <f>Y53+Y92</f>
        <v>1890</v>
      </c>
      <c r="AD103" s="36">
        <f>AD53+AD92</f>
        <v>0</v>
      </c>
      <c r="AF103" s="36">
        <f t="shared" si="96"/>
        <v>21000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1468</v>
      </c>
      <c r="D104" s="36">
        <f t="shared" si="95"/>
        <v>1468</v>
      </c>
      <c r="J104" s="7">
        <f>K104</f>
        <v>1468</v>
      </c>
      <c r="K104" s="36">
        <f>K90+K89+K58+K57+K56+K55</f>
        <v>1468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96"/>
        <v>1468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95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96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95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96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16000</v>
      </c>
      <c r="D107" s="36">
        <f t="shared" si="95"/>
        <v>16000</v>
      </c>
      <c r="G107" s="7">
        <f>K107*0.9</f>
        <v>9360</v>
      </c>
      <c r="H107" s="7">
        <f>K107*0.1</f>
        <v>1040</v>
      </c>
      <c r="K107" s="36">
        <f>K65</f>
        <v>10400</v>
      </c>
      <c r="M107" s="7">
        <f>P107*0.8</f>
        <v>4480</v>
      </c>
      <c r="N107" s="7">
        <f>P107*0.1</f>
        <v>560</v>
      </c>
      <c r="O107" s="7">
        <f>P107*0.1</f>
        <v>560</v>
      </c>
      <c r="P107" s="36">
        <f>P65</f>
        <v>5600</v>
      </c>
      <c r="R107" s="36">
        <f>T65</f>
        <v>0</v>
      </c>
      <c r="S107" s="36"/>
      <c r="T107" s="36"/>
      <c r="Y107" s="36">
        <f>Y65</f>
        <v>0</v>
      </c>
      <c r="AC107" s="7">
        <f>AD107</f>
        <v>0</v>
      </c>
      <c r="AD107" s="36">
        <f>AD65</f>
        <v>0</v>
      </c>
      <c r="AF107" s="36">
        <f t="shared" si="96"/>
        <v>16000</v>
      </c>
    </row>
    <row r="108" spans="1:32" x14ac:dyDescent="0.25">
      <c r="A108" s="26">
        <v>100000032221</v>
      </c>
      <c r="B108" s="29" t="s">
        <v>77</v>
      </c>
      <c r="C108" s="36">
        <f>C54</f>
        <v>8500</v>
      </c>
      <c r="D108" s="36">
        <f t="shared" si="95"/>
        <v>8500</v>
      </c>
      <c r="G108" s="7">
        <f>K108</f>
        <v>0</v>
      </c>
      <c r="K108" s="36">
        <f>K54</f>
        <v>0</v>
      </c>
      <c r="M108" s="7">
        <f>P108*0.8</f>
        <v>2720</v>
      </c>
      <c r="N108" s="7">
        <f>P108*0.1</f>
        <v>340</v>
      </c>
      <c r="O108" s="7">
        <f>M108*0.1</f>
        <v>272</v>
      </c>
      <c r="P108" s="36">
        <f>P54</f>
        <v>3400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5100</v>
      </c>
      <c r="AD108" s="36">
        <f>AD54</f>
        <v>5100</v>
      </c>
      <c r="AF108" s="36">
        <f t="shared" si="96"/>
        <v>8500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16177.5</v>
      </c>
      <c r="D109" s="36">
        <f>K109+P109+T109+Y109+AD109</f>
        <v>16177.5</v>
      </c>
      <c r="K109" s="36">
        <f>K83+K66+K49+K51+K52+K48+K75+K76</f>
        <v>0</v>
      </c>
      <c r="P109" s="36">
        <f>P83+P66+P49+P51+P52+P48+P75+P76</f>
        <v>0</v>
      </c>
      <c r="R109" s="36">
        <f>T35</f>
        <v>6238.75</v>
      </c>
      <c r="S109" s="36">
        <f>T36</f>
        <v>1872.5</v>
      </c>
      <c r="T109" s="36">
        <f>T83+T66+T49+T51+T52+T48+T75+T76+T84+T85+T86+T87</f>
        <v>8111.25</v>
      </c>
      <c r="Y109" s="36">
        <f>Y83+Y66+Y49+Y51+Y52+Y48+Y75+Y76</f>
        <v>0</v>
      </c>
      <c r="AA109" s="7">
        <f>AD35</f>
        <v>6238.75</v>
      </c>
      <c r="AB109" s="7">
        <f>AD36</f>
        <v>1827.5</v>
      </c>
      <c r="AD109" s="36">
        <f>AD83+AD66+AD49+AD51+AD52+AD48+AD75+AD76+AD84+AD85+AD86+AD87</f>
        <v>8066.25</v>
      </c>
      <c r="AF109" s="36">
        <f t="shared" si="96"/>
        <v>14305</v>
      </c>
    </row>
    <row r="110" spans="1:32" x14ac:dyDescent="0.25">
      <c r="B110" s="19" t="s">
        <v>84</v>
      </c>
      <c r="C110" s="16">
        <f>C50</f>
        <v>250</v>
      </c>
      <c r="D110" s="36">
        <f t="shared" si="95"/>
        <v>250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250</v>
      </c>
      <c r="AD110" s="16">
        <f>AD50</f>
        <v>0</v>
      </c>
      <c r="AF110" s="36">
        <f t="shared" si="96"/>
        <v>250</v>
      </c>
    </row>
    <row r="111" spans="1:32" x14ac:dyDescent="0.25">
      <c r="B111" s="16" t="s">
        <v>94</v>
      </c>
      <c r="C111" s="16">
        <f>C77+C78+C79+C80</f>
        <v>0</v>
      </c>
      <c r="D111" s="36">
        <f t="shared" si="95"/>
        <v>0</v>
      </c>
      <c r="G111" s="7">
        <f>K111*0.5</f>
        <v>0</v>
      </c>
      <c r="H111" s="7">
        <f>K111*0.5</f>
        <v>0</v>
      </c>
      <c r="K111" s="16">
        <f>K77+K78+K79+K80</f>
        <v>0</v>
      </c>
      <c r="P111" s="16">
        <f>P77+P78+P79+P80</f>
        <v>0</v>
      </c>
    </row>
    <row r="112" spans="1:32" x14ac:dyDescent="0.25">
      <c r="AC112" s="7">
        <f>AC100+AC99</f>
        <v>6445.0000000000009</v>
      </c>
    </row>
    <row r="113" spans="22:29" x14ac:dyDescent="0.25">
      <c r="AC113" s="7">
        <f>AC112/0.8</f>
        <v>8056.2500000000009</v>
      </c>
    </row>
    <row r="114" spans="22:29" x14ac:dyDescent="0.25">
      <c r="AC114" s="7">
        <f>AC113*0.27</f>
        <v>2175.1875000000005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CE117"/>
  <sheetViews>
    <sheetView topLeftCell="B4" zoomScaleNormal="100" workbookViewId="0">
      <pane xSplit="4" ySplit="4" topLeftCell="BT25" activePane="bottomRight" state="frozen"/>
      <selection activeCell="B4" sqref="B4"/>
      <selection pane="topRight" activeCell="F4" sqref="F4"/>
      <selection pane="bottomLeft" activeCell="B8" sqref="B8"/>
      <selection pane="bottomRight" activeCell="CA40" sqref="CA40:CE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0.32258064516129031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(4.75*2*24)/0.78</f>
        <v>292.30769230769232</v>
      </c>
      <c r="S8" s="5">
        <f>(3.5*1*24)/0.78</f>
        <v>107.69230769230769</v>
      </c>
      <c r="T8" s="5">
        <f>S8+R8</f>
        <v>400</v>
      </c>
      <c r="U8" s="67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(((240/0.78)*0.08)+240)/0.78</f>
        <v>339.25049309664695</v>
      </c>
      <c r="AB8" s="7">
        <f>(((120/0.78)*0.08)+120)/0.78</f>
        <v>169.62524654832347</v>
      </c>
      <c r="AC8" s="5">
        <v>700</v>
      </c>
      <c r="AD8" s="5">
        <f>SUM(AA8:AC8)</f>
        <v>1208.8757396449705</v>
      </c>
      <c r="AF8" s="1">
        <f>AD8+Y8+R8+P8+K8</f>
        <v>6011.1834319526624</v>
      </c>
    </row>
    <row r="9" spans="2:34" x14ac:dyDescent="0.25">
      <c r="B9" s="19" t="s">
        <v>10</v>
      </c>
      <c r="F9" s="22">
        <v>0.78</v>
      </c>
      <c r="G9" s="22">
        <v>0.79500000000000004</v>
      </c>
      <c r="H9" s="22">
        <v>0.79500000000000004</v>
      </c>
      <c r="I9" s="22">
        <v>0.79500000000000004</v>
      </c>
      <c r="J9" s="22">
        <v>0.79500000000000004</v>
      </c>
      <c r="K9" s="22"/>
      <c r="L9" s="13"/>
      <c r="M9" s="22">
        <v>0.79500000000000004</v>
      </c>
      <c r="N9" s="22">
        <v>0.79500000000000004</v>
      </c>
      <c r="O9" s="22">
        <v>0.79500000000000004</v>
      </c>
      <c r="P9" s="22"/>
      <c r="Q9" s="12"/>
      <c r="R9" s="22">
        <v>0.8</v>
      </c>
      <c r="S9" s="22">
        <v>0.8</v>
      </c>
      <c r="T9" s="22"/>
      <c r="U9" s="12"/>
      <c r="V9" s="22">
        <v>0.79500000000000004</v>
      </c>
      <c r="W9" s="22">
        <v>0.79500000000000004</v>
      </c>
      <c r="X9" s="22">
        <v>0.79500000000000004</v>
      </c>
      <c r="Y9" s="22"/>
      <c r="Z9" s="14"/>
      <c r="AA9" s="22">
        <v>0.8</v>
      </c>
      <c r="AB9" s="22">
        <v>0.8</v>
      </c>
      <c r="AC9" s="22">
        <v>0.79500000000000004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397.5</v>
      </c>
      <c r="H10" s="5">
        <f t="shared" si="0"/>
        <v>397.5</v>
      </c>
      <c r="I10" s="5">
        <f t="shared" si="0"/>
        <v>174.9</v>
      </c>
      <c r="J10" s="5">
        <f t="shared" si="0"/>
        <v>214.65</v>
      </c>
      <c r="K10" s="5">
        <f>SUM(F10:J10)</f>
        <v>1356.15</v>
      </c>
      <c r="L10" s="3"/>
      <c r="M10" s="5">
        <f t="shared" ref="M10:O10" si="1">M8*M9</f>
        <v>397.5</v>
      </c>
      <c r="N10" s="5">
        <f t="shared" si="1"/>
        <v>556.5</v>
      </c>
      <c r="O10" s="5">
        <f t="shared" si="1"/>
        <v>556.5</v>
      </c>
      <c r="P10" s="5">
        <f>SUM(M10:O10)</f>
        <v>1510.5</v>
      </c>
      <c r="Q10" s="67"/>
      <c r="R10" s="5">
        <f t="shared" ref="R10:S10" si="2">R8*R9</f>
        <v>233.84615384615387</v>
      </c>
      <c r="S10" s="5">
        <f t="shared" si="2"/>
        <v>86.15384615384616</v>
      </c>
      <c r="T10" s="5">
        <f>R10+S10</f>
        <v>320</v>
      </c>
      <c r="U10" s="67"/>
      <c r="V10" s="5">
        <f>V8*V9</f>
        <v>286.2</v>
      </c>
      <c r="W10" s="5">
        <f t="shared" ref="W10:X10" si="3">W8*W9</f>
        <v>214.65</v>
      </c>
      <c r="X10" s="5">
        <f t="shared" si="3"/>
        <v>214.65</v>
      </c>
      <c r="Y10" s="5">
        <f>SUM(V10:X10)</f>
        <v>715.5</v>
      </c>
      <c r="Z10" s="4"/>
      <c r="AA10" s="5">
        <f t="shared" ref="AA10:AC10" si="4">AA8*AA9</f>
        <v>271.40039447731755</v>
      </c>
      <c r="AB10" s="5">
        <f t="shared" si="4"/>
        <v>135.70019723865877</v>
      </c>
      <c r="AC10" s="5">
        <f t="shared" si="4"/>
        <v>556.5</v>
      </c>
      <c r="AD10" s="5">
        <f>SUM(AA10:AC10)</f>
        <v>963.60059171597629</v>
      </c>
      <c r="AF10" s="1">
        <f>AD10+Y10+R10+P10+K10</f>
        <v>4779.5967455621303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27.75</v>
      </c>
      <c r="G15" s="40">
        <f t="shared" ref="G15:J15" si="5">G11-G12-G14-G13</f>
        <v>27.75</v>
      </c>
      <c r="H15" s="40">
        <f t="shared" si="5"/>
        <v>27.75</v>
      </c>
      <c r="I15" s="40">
        <f t="shared" si="5"/>
        <v>27.75</v>
      </c>
      <c r="J15" s="40">
        <f t="shared" si="5"/>
        <v>27.75</v>
      </c>
      <c r="K15" s="1"/>
      <c r="M15" s="40">
        <f>M11-M12-M14-M13</f>
        <v>27.75</v>
      </c>
      <c r="N15" s="40">
        <f t="shared" ref="N15:O15" si="6">N11-N12-N14-N13</f>
        <v>27.75</v>
      </c>
      <c r="O15" s="40">
        <f t="shared" si="6"/>
        <v>27.75</v>
      </c>
      <c r="P15" s="1"/>
      <c r="R15" s="40">
        <f>R11-R12-R14-R13</f>
        <v>28.75</v>
      </c>
      <c r="S15" s="40">
        <f t="shared" ref="S15" si="7">S11-S12-S14-S13</f>
        <v>28.75</v>
      </c>
      <c r="T15" s="40"/>
      <c r="V15" s="40">
        <f t="shared" ref="V15:X15" si="8">V11-V12-V14-V13</f>
        <v>27.75</v>
      </c>
      <c r="W15" s="40">
        <f t="shared" si="8"/>
        <v>27.75</v>
      </c>
      <c r="X15" s="40">
        <f t="shared" si="8"/>
        <v>27.75</v>
      </c>
      <c r="Y15" s="1"/>
      <c r="AA15" s="40">
        <f t="shared" ref="AA15:AC15" si="9">AA11-AA12-AA14-AA13</f>
        <v>28.75</v>
      </c>
      <c r="AB15" s="40">
        <f t="shared" si="9"/>
        <v>28.75</v>
      </c>
      <c r="AC15" s="40">
        <f t="shared" si="9"/>
        <v>28.25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1</v>
      </c>
      <c r="S16" s="21">
        <v>1</v>
      </c>
      <c r="T16" s="21"/>
      <c r="V16" s="21">
        <v>0.95</v>
      </c>
      <c r="W16" s="21">
        <v>0.95</v>
      </c>
      <c r="X16" s="21">
        <v>0.95</v>
      </c>
      <c r="Y16" s="21"/>
      <c r="AA16" s="21">
        <v>1</v>
      </c>
      <c r="AB16" s="21">
        <v>1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4047.6149999999998</v>
      </c>
      <c r="G17" s="1">
        <f t="shared" ref="G17:J17" si="10">G16*G15*G10</f>
        <v>9927.5625</v>
      </c>
      <c r="H17" s="1">
        <f t="shared" si="10"/>
        <v>9927.5625</v>
      </c>
      <c r="I17" s="1">
        <f t="shared" si="10"/>
        <v>4368.1275000000005</v>
      </c>
      <c r="J17" s="1">
        <f t="shared" si="10"/>
        <v>5360.8837500000009</v>
      </c>
      <c r="K17" s="5">
        <f>SUM(F17:J17)</f>
        <v>33631.751250000001</v>
      </c>
      <c r="M17" s="1">
        <f t="shared" ref="M17:O17" si="11">M16*M15*M10</f>
        <v>9927.5625</v>
      </c>
      <c r="N17" s="1">
        <f t="shared" si="11"/>
        <v>13898.587500000001</v>
      </c>
      <c r="O17" s="1">
        <f t="shared" si="11"/>
        <v>13898.587500000001</v>
      </c>
      <c r="P17" s="5">
        <f>SUM(M17:O17)</f>
        <v>37724.737500000003</v>
      </c>
      <c r="R17" s="1">
        <f>R16*R15*R10</f>
        <v>6723.0769230769238</v>
      </c>
      <c r="S17" s="1">
        <f t="shared" ref="S17" si="12">S16*S15*S10</f>
        <v>2476.9230769230771</v>
      </c>
      <c r="T17" s="1">
        <f>R17+S17</f>
        <v>9200</v>
      </c>
      <c r="V17" s="1">
        <f>V16*V15*V10</f>
        <v>7544.9474999999993</v>
      </c>
      <c r="W17" s="1">
        <f t="shared" ref="W17:X17" si="13">W16*W15*W10</f>
        <v>5658.7106249999997</v>
      </c>
      <c r="X17" s="1">
        <f t="shared" si="13"/>
        <v>5658.7106249999997</v>
      </c>
      <c r="Y17" s="5">
        <f>SUM(V17:X17)</f>
        <v>18862.368749999998</v>
      </c>
      <c r="AA17" s="70">
        <f>AA16*AA15*AA10</f>
        <v>7802.7613412228793</v>
      </c>
      <c r="AB17" s="70">
        <f>AB16*AB15*AB10</f>
        <v>3901.3806706114397</v>
      </c>
      <c r="AC17" s="1">
        <f t="shared" ref="AC17" si="14">AC16*AC15*AC10</f>
        <v>14149.012500000001</v>
      </c>
      <c r="AD17" s="5">
        <f>SUM(Z17:AC17)</f>
        <v>25853.15451183432</v>
      </c>
      <c r="AF17" s="1">
        <f>AD17+Y17+T17+P17+K17</f>
        <v>125272.01201183432</v>
      </c>
      <c r="AI17" s="46"/>
    </row>
    <row r="19" spans="2:83" x14ac:dyDescent="0.25">
      <c r="B19" s="19" t="s">
        <v>18</v>
      </c>
      <c r="C19" s="16">
        <f>C27+C29+C30+C31+C34+C28</f>
        <v>70050</v>
      </c>
      <c r="D19" s="16">
        <f>D27+D29+D30+D31+D34+D28</f>
        <v>70050</v>
      </c>
      <c r="F19" s="1">
        <f>F17</f>
        <v>4047.6149999999998</v>
      </c>
      <c r="G19" s="1">
        <f t="shared" ref="G19:H19" si="15">G17</f>
        <v>9927.5625</v>
      </c>
      <c r="H19" s="1">
        <f t="shared" si="15"/>
        <v>9927.5625</v>
      </c>
      <c r="I19" s="1"/>
      <c r="J19" s="1"/>
      <c r="K19" s="5">
        <f t="shared" ref="K19:K25" si="16">SUM(F19:J19)</f>
        <v>23902.739999999998</v>
      </c>
      <c r="M19" s="1">
        <f>M17*0.5</f>
        <v>4963.78125</v>
      </c>
      <c r="N19" s="1">
        <f>N17*0.8</f>
        <v>11118.870000000003</v>
      </c>
      <c r="O19" s="1">
        <f>O17</f>
        <v>13898.587500000001</v>
      </c>
      <c r="P19" s="5">
        <f t="shared" ref="P19:P25" si="17">SUM(M19:O19)</f>
        <v>29981.238750000004</v>
      </c>
      <c r="R19" s="1"/>
      <c r="S19" s="1"/>
      <c r="T19" s="1">
        <f t="shared" ref="T19:T24" si="18">R19+S19</f>
        <v>0</v>
      </c>
      <c r="V19" s="1">
        <f>V17-V23</f>
        <v>6975.5174999999999</v>
      </c>
      <c r="W19" s="1">
        <f t="shared" ref="W19:X19" si="19">W17-W23</f>
        <v>5231.6381249999995</v>
      </c>
      <c r="X19" s="1">
        <f t="shared" si="19"/>
        <v>5231.6381249999995</v>
      </c>
      <c r="Y19" s="5">
        <f t="shared" ref="Y19:Y25" si="20">SUM(V19:X19)</f>
        <v>17438.793749999997</v>
      </c>
      <c r="AA19" s="1"/>
      <c r="AB19" s="1"/>
      <c r="AC19" s="1">
        <f>AC17*0.95</f>
        <v>13441.561874999999</v>
      </c>
      <c r="AD19" s="5">
        <f t="shared" ref="AD19:AD25" si="21">SUM(Z19:AC19)</f>
        <v>13441.561874999999</v>
      </c>
      <c r="AF19" s="1">
        <f t="shared" ref="AF19:AF25" si="22">AD19+Y19+R19+P19+K19</f>
        <v>84764.334375000006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J17*0.42</f>
        <v>2251.5711750000005</v>
      </c>
      <c r="K20" s="5">
        <f t="shared" si="16"/>
        <v>2251.5711750000005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2251.5711750000005</v>
      </c>
    </row>
    <row r="21" spans="2:83" x14ac:dyDescent="0.25">
      <c r="B21" s="19" t="s">
        <v>19</v>
      </c>
      <c r="C21" s="16">
        <f>C33</f>
        <v>3000</v>
      </c>
      <c r="D21" s="16">
        <f>D33</f>
        <v>3000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4963.78125</v>
      </c>
      <c r="N21" s="1">
        <f>N17*0.2</f>
        <v>2779.7175000000007</v>
      </c>
      <c r="O21" s="1"/>
      <c r="P21" s="5">
        <f t="shared" si="17"/>
        <v>7743.4987500000007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7743.4987500000007</v>
      </c>
    </row>
    <row r="22" spans="2:83" x14ac:dyDescent="0.25">
      <c r="B22" s="19" t="s">
        <v>20</v>
      </c>
      <c r="C22" s="16">
        <f>C32</f>
        <v>3300</v>
      </c>
      <c r="D22" s="16">
        <f>D32</f>
        <v>3300</v>
      </c>
      <c r="F22" s="1"/>
      <c r="G22" s="1"/>
      <c r="H22" s="1"/>
      <c r="I22" s="1">
        <f>I17</f>
        <v>4368.1275000000005</v>
      </c>
      <c r="J22" s="1"/>
      <c r="K22" s="5">
        <f t="shared" si="16"/>
        <v>4368.1275000000005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4368.1275000000005</v>
      </c>
    </row>
    <row r="23" spans="2:83" x14ac:dyDescent="0.25">
      <c r="B23" s="19" t="s">
        <v>21</v>
      </c>
      <c r="C23" s="16">
        <f>C37+C38+C39</f>
        <v>5485</v>
      </c>
      <c r="D23" s="16">
        <f>D37+D38+D39</f>
        <v>5485</v>
      </c>
      <c r="F23" s="1"/>
      <c r="G23" s="1"/>
      <c r="H23" s="1"/>
      <c r="I23" s="1"/>
      <c r="J23" s="1">
        <f>J17*0.58</f>
        <v>3109.3125750000004</v>
      </c>
      <c r="K23" s="5">
        <f t="shared" si="16"/>
        <v>3109.3125750000004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569.42999999999984</v>
      </c>
      <c r="W23" s="1">
        <f t="shared" ref="W23:X23" si="23">(W17/W9)*0.06</f>
        <v>427.07249999999993</v>
      </c>
      <c r="X23" s="1">
        <f t="shared" si="23"/>
        <v>427.07249999999993</v>
      </c>
      <c r="Y23" s="5">
        <f t="shared" si="20"/>
        <v>1423.5749999999998</v>
      </c>
      <c r="AA23" s="1">
        <f>AA17*0.08</f>
        <v>624.22090729783031</v>
      </c>
      <c r="AB23" s="1">
        <f>AB17*0.08</f>
        <v>312.11045364891515</v>
      </c>
      <c r="AC23" s="1">
        <f>AC17*0.05</f>
        <v>707.45062500000006</v>
      </c>
      <c r="AD23" s="5">
        <f t="shared" si="21"/>
        <v>1643.7819859467454</v>
      </c>
      <c r="AF23" s="1">
        <f t="shared" si="22"/>
        <v>6176.6695609467461</v>
      </c>
    </row>
    <row r="24" spans="2:83" x14ac:dyDescent="0.25">
      <c r="B24" s="19" t="s">
        <v>91</v>
      </c>
      <c r="C24" s="16">
        <f>C35</f>
        <v>12911.5</v>
      </c>
      <c r="D24" s="16">
        <f>D35</f>
        <v>12911.5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6723.0769230769238</v>
      </c>
      <c r="S24" s="1"/>
      <c r="T24" s="1">
        <f t="shared" si="18"/>
        <v>6723.0769230769238</v>
      </c>
      <c r="V24" s="1"/>
      <c r="W24" s="1"/>
      <c r="X24" s="1"/>
      <c r="Y24" s="5">
        <f t="shared" si="20"/>
        <v>0</v>
      </c>
      <c r="AA24" s="1">
        <f>AA17-AA23</f>
        <v>7178.540433925049</v>
      </c>
      <c r="AB24" s="1"/>
      <c r="AC24" s="1"/>
      <c r="AD24" s="5">
        <f t="shared" si="21"/>
        <v>7178.540433925049</v>
      </c>
      <c r="AF24" s="1">
        <f t="shared" si="22"/>
        <v>13901.617357001973</v>
      </c>
    </row>
    <row r="25" spans="2:83" x14ac:dyDescent="0.25">
      <c r="B25" s="19" t="s">
        <v>126</v>
      </c>
      <c r="C25" s="16">
        <f>C36</f>
        <v>5500</v>
      </c>
      <c r="D25" s="16">
        <f>D36</f>
        <v>5500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2476.9230769230771</v>
      </c>
      <c r="T25" s="1">
        <f>R25+S25</f>
        <v>2476.9230769230771</v>
      </c>
      <c r="V25" s="1"/>
      <c r="W25" s="1"/>
      <c r="X25" s="1"/>
      <c r="Y25" s="5">
        <f t="shared" si="20"/>
        <v>0</v>
      </c>
      <c r="AA25" s="1"/>
      <c r="AB25" s="1">
        <f>AB17-AB23</f>
        <v>3589.2702169625245</v>
      </c>
      <c r="AC25" s="1"/>
      <c r="AD25" s="5">
        <f t="shared" si="21"/>
        <v>3589.2702169625245</v>
      </c>
      <c r="AF25" s="1">
        <f t="shared" si="22"/>
        <v>3589.2702169625245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17600</v>
      </c>
      <c r="D27" s="16">
        <f>D64+D68+D69+D82+D91</f>
        <v>17600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5375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8150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4075</v>
      </c>
      <c r="AH27" s="59" t="str">
        <f>B27</f>
        <v>Mix and Bake</v>
      </c>
      <c r="AI27" s="1">
        <f>K27</f>
        <v>5375</v>
      </c>
      <c r="AJ27" s="1">
        <f>P27</f>
        <v>0</v>
      </c>
      <c r="AK27" s="1">
        <f t="shared" ref="AK27:AK39" si="26">T27</f>
        <v>0</v>
      </c>
      <c r="AL27" s="1">
        <f>Y27</f>
        <v>8150</v>
      </c>
      <c r="AM27" s="1">
        <f>AD27</f>
        <v>4075</v>
      </c>
      <c r="AN27" s="1">
        <f>SUM(AI27:AM27)</f>
        <v>17600</v>
      </c>
      <c r="AP27" s="7">
        <f>AI27/0.78</f>
        <v>6891.0256410256407</v>
      </c>
      <c r="AQ27" s="7">
        <f>AJ27/0.78</f>
        <v>0</v>
      </c>
      <c r="AR27" s="7">
        <f>AK27/0.78</f>
        <v>0</v>
      </c>
      <c r="AS27" s="7">
        <f>AL27/0.78</f>
        <v>10448.717948717949</v>
      </c>
      <c r="AT27" s="7">
        <f>AM27/0.78</f>
        <v>5224.3589743589746</v>
      </c>
      <c r="AU27" s="7">
        <f>SUM(AP27:AT27)</f>
        <v>22564.102564102563</v>
      </c>
      <c r="AW27" s="46">
        <v>0.3</v>
      </c>
      <c r="AX27" s="46">
        <v>0.25</v>
      </c>
      <c r="AY27" s="72"/>
      <c r="AZ27" s="46">
        <v>0.3</v>
      </c>
      <c r="BA27" s="46">
        <v>0.3</v>
      </c>
      <c r="BC27" s="7">
        <f>AW27*AP27</f>
        <v>2067.3076923076919</v>
      </c>
      <c r="BD27" s="7">
        <f>AX27*AQ27</f>
        <v>0</v>
      </c>
      <c r="BE27" s="7">
        <f>AY27*AR27</f>
        <v>0</v>
      </c>
      <c r="BF27" s="7">
        <f>AZ27*AS27</f>
        <v>3134.6153846153848</v>
      </c>
      <c r="BG27" s="7">
        <f>BA27*AT27</f>
        <v>1567.3076923076924</v>
      </c>
      <c r="BI27" s="46">
        <v>0.7</v>
      </c>
      <c r="BJ27" s="46">
        <v>0.75</v>
      </c>
      <c r="BK27" s="72"/>
      <c r="BL27" s="46">
        <v>0.7</v>
      </c>
      <c r="BM27" s="46">
        <v>0.7</v>
      </c>
      <c r="BO27" s="7">
        <f>BI27*AP27</f>
        <v>4823.7179487179483</v>
      </c>
      <c r="BP27" s="7">
        <f>BJ27*AQ27</f>
        <v>0</v>
      </c>
      <c r="BQ27" s="7">
        <f>BK27*AR27</f>
        <v>0</v>
      </c>
      <c r="BR27" s="7">
        <f>BL27*AS27</f>
        <v>7314.1025641025635</v>
      </c>
      <c r="BS27" s="7">
        <f>BM27*AT27</f>
        <v>3657.0512820512818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7500</v>
      </c>
      <c r="D28" s="16">
        <f>D63</f>
        <v>7500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6375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1125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6375</v>
      </c>
      <c r="AM28" s="1">
        <f t="shared" ref="AM28:AM39" si="34">AD28</f>
        <v>1125</v>
      </c>
      <c r="AN28" s="1">
        <f t="shared" ref="AN28:AN39" si="35">SUM(AI28:AM28)</f>
        <v>7500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8173.0769230769229</v>
      </c>
      <c r="AT28" s="7">
        <f t="shared" si="36"/>
        <v>1442.3076923076922</v>
      </c>
      <c r="AU28" s="7">
        <f t="shared" ref="AU28:AU39" si="37">SUM(AP28:AT28)</f>
        <v>9615.3846153846152</v>
      </c>
      <c r="AW28" s="72"/>
      <c r="AX28" s="72"/>
      <c r="AY28" s="72"/>
      <c r="AZ28" s="46">
        <v>0.35</v>
      </c>
      <c r="BA28" s="46">
        <v>0.35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2860.5769230769229</v>
      </c>
      <c r="BG28" s="7">
        <f t="shared" si="38"/>
        <v>504.80769230769221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5312.5</v>
      </c>
      <c r="BS28" s="7">
        <f t="shared" si="39"/>
        <v>937.49999999999989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21700</v>
      </c>
      <c r="D29" s="16">
        <f>D53+D92</f>
        <v>21700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20615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1085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20615</v>
      </c>
      <c r="AK29" s="1">
        <f t="shared" si="26"/>
        <v>0</v>
      </c>
      <c r="AL29" s="1">
        <f t="shared" si="33"/>
        <v>1085</v>
      </c>
      <c r="AM29" s="1">
        <f t="shared" si="34"/>
        <v>0</v>
      </c>
      <c r="AN29" s="1">
        <f t="shared" si="35"/>
        <v>21700</v>
      </c>
      <c r="AP29" s="7">
        <f t="shared" si="36"/>
        <v>0</v>
      </c>
      <c r="AQ29" s="7">
        <f t="shared" si="36"/>
        <v>26429.48717948718</v>
      </c>
      <c r="AR29" s="7">
        <f t="shared" si="36"/>
        <v>0</v>
      </c>
      <c r="AS29" s="7">
        <f t="shared" si="36"/>
        <v>1391.0256410256409</v>
      </c>
      <c r="AT29" s="7">
        <f t="shared" si="36"/>
        <v>0</v>
      </c>
      <c r="AU29" s="7">
        <f t="shared" si="37"/>
        <v>27820.51282051282</v>
      </c>
      <c r="AW29" s="46">
        <v>0.6</v>
      </c>
      <c r="AX29" s="46">
        <v>0.6</v>
      </c>
      <c r="AY29" s="72"/>
      <c r="AZ29" s="46">
        <v>0.6</v>
      </c>
      <c r="BA29" s="46">
        <v>0.6</v>
      </c>
      <c r="BC29" s="7">
        <f t="shared" si="38"/>
        <v>0</v>
      </c>
      <c r="BD29" s="7">
        <f t="shared" si="38"/>
        <v>15857.692307692307</v>
      </c>
      <c r="BE29" s="7">
        <f t="shared" si="38"/>
        <v>0</v>
      </c>
      <c r="BF29" s="7">
        <f t="shared" si="38"/>
        <v>834.61538461538453</v>
      </c>
      <c r="BG29" s="7">
        <f t="shared" si="38"/>
        <v>0</v>
      </c>
      <c r="BI29" s="46">
        <v>0.4</v>
      </c>
      <c r="BJ29" s="46">
        <v>0.4</v>
      </c>
      <c r="BK29" s="72"/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10571.794871794873</v>
      </c>
      <c r="BQ29" s="7">
        <f t="shared" si="39"/>
        <v>0</v>
      </c>
      <c r="BR29" s="7">
        <f t="shared" si="39"/>
        <v>556.41025641025635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8500</v>
      </c>
      <c r="D30" s="16">
        <f>D54</f>
        <v>8500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1700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6800</v>
      </c>
      <c r="AH30" s="59" t="str">
        <f t="shared" si="45"/>
        <v>Bakewell</v>
      </c>
      <c r="AI30" s="1">
        <f t="shared" si="31"/>
        <v>0</v>
      </c>
      <c r="AJ30" s="1">
        <f t="shared" si="32"/>
        <v>1700</v>
      </c>
      <c r="AK30" s="1">
        <f t="shared" si="26"/>
        <v>0</v>
      </c>
      <c r="AL30" s="1">
        <f t="shared" si="33"/>
        <v>0</v>
      </c>
      <c r="AM30" s="1">
        <f t="shared" si="34"/>
        <v>6800</v>
      </c>
      <c r="AN30" s="1">
        <f t="shared" si="35"/>
        <v>8500</v>
      </c>
      <c r="AP30" s="7">
        <f t="shared" si="36"/>
        <v>0</v>
      </c>
      <c r="AQ30" s="7">
        <f t="shared" si="36"/>
        <v>2179.4871794871792</v>
      </c>
      <c r="AR30" s="7">
        <f t="shared" si="36"/>
        <v>0</v>
      </c>
      <c r="AS30" s="7">
        <f t="shared" si="36"/>
        <v>0</v>
      </c>
      <c r="AT30" s="7">
        <f t="shared" si="36"/>
        <v>8717.9487179487169</v>
      </c>
      <c r="AU30" s="7">
        <f t="shared" si="37"/>
        <v>10897.435897435897</v>
      </c>
      <c r="AW30" s="46">
        <v>0.15</v>
      </c>
      <c r="AX30" s="46">
        <v>0.1</v>
      </c>
      <c r="AY30" s="72"/>
      <c r="AZ30" s="46">
        <v>0.15</v>
      </c>
      <c r="BA30" s="46">
        <v>0.15</v>
      </c>
      <c r="BC30" s="7">
        <f t="shared" si="38"/>
        <v>0</v>
      </c>
      <c r="BD30" s="7">
        <f t="shared" si="38"/>
        <v>217.94871794871793</v>
      </c>
      <c r="BE30" s="7">
        <f t="shared" si="38"/>
        <v>0</v>
      </c>
      <c r="BF30" s="7">
        <f t="shared" si="38"/>
        <v>0</v>
      </c>
      <c r="BG30" s="7">
        <f t="shared" si="38"/>
        <v>1307.6923076923074</v>
      </c>
      <c r="BI30" s="46">
        <v>0.85</v>
      </c>
      <c r="BJ30" s="46">
        <v>0.9</v>
      </c>
      <c r="BK30" s="72"/>
      <c r="BL30" s="46">
        <v>0.85</v>
      </c>
      <c r="BM30" s="46">
        <v>0.85</v>
      </c>
      <c r="BO30" s="7">
        <f t="shared" si="46"/>
        <v>0</v>
      </c>
      <c r="BP30" s="7">
        <f t="shared" si="39"/>
        <v>1961.5384615384614</v>
      </c>
      <c r="BQ30" s="7">
        <f t="shared" si="39"/>
        <v>0</v>
      </c>
      <c r="BR30" s="7">
        <f t="shared" si="39"/>
        <v>0</v>
      </c>
      <c r="BS30" s="7">
        <f t="shared" si="39"/>
        <v>7410.2564102564093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14500</v>
      </c>
      <c r="D31" s="16">
        <f>D65</f>
        <v>14500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14500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0</v>
      </c>
      <c r="AH31" s="59" t="str">
        <f t="shared" si="45"/>
        <v>Bua Premium</v>
      </c>
      <c r="AI31" s="1">
        <f t="shared" si="31"/>
        <v>14500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0</v>
      </c>
      <c r="AN31" s="1">
        <f t="shared" si="35"/>
        <v>14500</v>
      </c>
      <c r="AP31" s="7">
        <f t="shared" si="36"/>
        <v>18589.74358974359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0</v>
      </c>
      <c r="AU31" s="7">
        <f t="shared" si="37"/>
        <v>18589.74358974359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46"/>
        <v>18589.74358974359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3300</v>
      </c>
      <c r="D32" s="16">
        <f>D46+D67</f>
        <v>3300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3300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3300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3300</v>
      </c>
      <c r="AP32" s="7">
        <f t="shared" si="36"/>
        <v>4230.7692307692305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4230.7692307692305</v>
      </c>
      <c r="AW32" s="46">
        <v>0</v>
      </c>
      <c r="AX32" s="46">
        <v>0</v>
      </c>
      <c r="AY32" s="72"/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72"/>
      <c r="BL32" s="46">
        <v>0.1</v>
      </c>
      <c r="BM32" s="46">
        <v>0.1</v>
      </c>
      <c r="BO32" s="7">
        <f t="shared" si="46"/>
        <v>423.07692307692309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3807.6923076923076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3000</v>
      </c>
      <c r="D33" s="16">
        <f>D47+D70</f>
        <v>3000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300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2400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300</v>
      </c>
      <c r="AH33" s="59" t="str">
        <f t="shared" si="45"/>
        <v>Noodles Flour</v>
      </c>
      <c r="AI33" s="1">
        <f t="shared" si="31"/>
        <v>300</v>
      </c>
      <c r="AJ33" s="1">
        <f t="shared" si="32"/>
        <v>2400</v>
      </c>
      <c r="AK33" s="1">
        <f t="shared" si="26"/>
        <v>0</v>
      </c>
      <c r="AL33" s="1">
        <f t="shared" si="33"/>
        <v>0</v>
      </c>
      <c r="AM33" s="1">
        <f t="shared" si="34"/>
        <v>300</v>
      </c>
      <c r="AN33" s="1">
        <f t="shared" si="35"/>
        <v>3000</v>
      </c>
      <c r="AP33" s="7">
        <f t="shared" si="36"/>
        <v>384.61538461538458</v>
      </c>
      <c r="AQ33" s="7">
        <f t="shared" si="36"/>
        <v>3076.9230769230767</v>
      </c>
      <c r="AR33" s="7">
        <f t="shared" si="36"/>
        <v>0</v>
      </c>
      <c r="AS33" s="7">
        <f t="shared" si="36"/>
        <v>0</v>
      </c>
      <c r="AT33" s="7">
        <f t="shared" si="36"/>
        <v>384.61538461538458</v>
      </c>
      <c r="AU33" s="7">
        <f t="shared" si="37"/>
        <v>3846.1538461538462</v>
      </c>
      <c r="AW33" s="46">
        <v>0.25</v>
      </c>
      <c r="AX33" s="46">
        <v>0.25</v>
      </c>
      <c r="AY33" s="72"/>
      <c r="AZ33" s="46">
        <v>0.25</v>
      </c>
      <c r="BA33" s="46">
        <v>0.25</v>
      </c>
      <c r="BC33" s="7">
        <f t="shared" si="38"/>
        <v>96.153846153846146</v>
      </c>
      <c r="BD33" s="7">
        <f t="shared" si="38"/>
        <v>769.23076923076917</v>
      </c>
      <c r="BE33" s="7">
        <f t="shared" si="38"/>
        <v>0</v>
      </c>
      <c r="BF33" s="7">
        <f t="shared" si="38"/>
        <v>0</v>
      </c>
      <c r="BG33" s="7">
        <f t="shared" si="38"/>
        <v>96.153846153846146</v>
      </c>
      <c r="BI33" s="46">
        <v>0.75</v>
      </c>
      <c r="BJ33" s="46">
        <v>0.75</v>
      </c>
      <c r="BK33" s="72"/>
      <c r="BL33" s="46">
        <v>0.75</v>
      </c>
      <c r="BM33" s="46">
        <v>0.75</v>
      </c>
      <c r="BO33" s="7">
        <f t="shared" si="46"/>
        <v>288.46153846153845</v>
      </c>
      <c r="BP33" s="7">
        <f t="shared" si="39"/>
        <v>2307.6923076923076</v>
      </c>
      <c r="BQ33" s="7">
        <f t="shared" si="39"/>
        <v>0</v>
      </c>
      <c r="BR33" s="7">
        <f t="shared" si="39"/>
        <v>0</v>
      </c>
      <c r="BS33" s="7">
        <f t="shared" si="39"/>
        <v>288.46153846153845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250</v>
      </c>
      <c r="D34" s="16">
        <f>D50</f>
        <v>250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250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250</v>
      </c>
      <c r="AM34" s="1">
        <f t="shared" si="34"/>
        <v>0</v>
      </c>
      <c r="AN34" s="1">
        <f t="shared" si="35"/>
        <v>250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320.5128205128205</v>
      </c>
      <c r="AT34" s="7">
        <f t="shared" si="36"/>
        <v>0</v>
      </c>
      <c r="AU34" s="7">
        <f t="shared" si="37"/>
        <v>320.5128205128205</v>
      </c>
      <c r="AW34" s="46">
        <v>0.35</v>
      </c>
      <c r="AX34" s="46">
        <v>0.35</v>
      </c>
      <c r="AY34" s="72"/>
      <c r="AZ34" s="46">
        <v>0.35</v>
      </c>
      <c r="BA34" s="46">
        <v>0.35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112.17948717948717</v>
      </c>
      <c r="BG34" s="7">
        <f t="shared" si="38"/>
        <v>0</v>
      </c>
      <c r="BI34" s="46">
        <v>0.65</v>
      </c>
      <c r="BJ34" s="46">
        <v>0.65</v>
      </c>
      <c r="BK34" s="72"/>
      <c r="BL34" s="46">
        <v>0.65</v>
      </c>
      <c r="BM34" s="46">
        <v>0.65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208.33333333333334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12911.5</v>
      </c>
      <c r="D35" s="16">
        <f>D48+D66+D75+D76</f>
        <v>12911.5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6455.75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6455.75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6455.75</v>
      </c>
      <c r="AL35" s="1">
        <f t="shared" si="33"/>
        <v>0</v>
      </c>
      <c r="AM35" s="1">
        <f t="shared" si="34"/>
        <v>6455.75</v>
      </c>
      <c r="AN35" s="1">
        <f t="shared" si="35"/>
        <v>12911.5</v>
      </c>
      <c r="AP35" s="7">
        <f t="shared" si="36"/>
        <v>0</v>
      </c>
      <c r="AQ35" s="7">
        <f t="shared" si="36"/>
        <v>0</v>
      </c>
      <c r="AR35" s="7">
        <f t="shared" si="36"/>
        <v>8276.6025641025644</v>
      </c>
      <c r="AS35" s="7">
        <f t="shared" si="36"/>
        <v>0</v>
      </c>
      <c r="AT35" s="7">
        <f t="shared" si="36"/>
        <v>8276.6025641025644</v>
      </c>
      <c r="AU35" s="7">
        <f t="shared" si="37"/>
        <v>16553.205128205129</v>
      </c>
      <c r="AW35" s="72"/>
      <c r="AX35" s="72"/>
      <c r="AY35" s="46">
        <v>0</v>
      </c>
      <c r="AZ35" s="72"/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72"/>
      <c r="BJ35" s="72"/>
      <c r="BK35" s="46">
        <v>1</v>
      </c>
      <c r="BL35" s="72"/>
      <c r="BM35" s="75">
        <v>1</v>
      </c>
      <c r="BO35" s="7">
        <f t="shared" si="46"/>
        <v>0</v>
      </c>
      <c r="BP35" s="7">
        <f t="shared" si="39"/>
        <v>0</v>
      </c>
      <c r="BQ35" s="7">
        <f t="shared" si="39"/>
        <v>8276.6025641025644</v>
      </c>
      <c r="BR35" s="7">
        <f t="shared" si="39"/>
        <v>0</v>
      </c>
      <c r="BS35" s="7">
        <f t="shared" si="39"/>
        <v>8276.6025641025644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5500</v>
      </c>
      <c r="D36" s="16">
        <f>D49+D51+D52+D83+D88+D84+D85+D86+D87</f>
        <v>5500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2395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3105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2395</v>
      </c>
      <c r="AL36" s="1">
        <f t="shared" si="33"/>
        <v>0</v>
      </c>
      <c r="AM36" s="1">
        <f t="shared" si="34"/>
        <v>3105</v>
      </c>
      <c r="AN36" s="1">
        <f t="shared" si="35"/>
        <v>5500</v>
      </c>
      <c r="AP36" s="7">
        <f t="shared" si="36"/>
        <v>0</v>
      </c>
      <c r="AQ36" s="7">
        <f t="shared" si="36"/>
        <v>0</v>
      </c>
      <c r="AR36" s="7">
        <f t="shared" si="36"/>
        <v>3070.5128205128203</v>
      </c>
      <c r="AS36" s="7">
        <f t="shared" si="36"/>
        <v>0</v>
      </c>
      <c r="AT36" s="7">
        <f t="shared" si="36"/>
        <v>3980.7692307692305</v>
      </c>
      <c r="AU36" s="7">
        <f t="shared" si="37"/>
        <v>7051.2820512820508</v>
      </c>
      <c r="AW36" s="72"/>
      <c r="AX36" s="72"/>
      <c r="AY36" s="46">
        <v>0</v>
      </c>
      <c r="AZ36" s="72"/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72"/>
      <c r="BJ36" s="72"/>
      <c r="BK36" s="46">
        <v>1</v>
      </c>
      <c r="BL36" s="72"/>
      <c r="BM36" s="75">
        <v>1</v>
      </c>
      <c r="BO36" s="7">
        <f t="shared" si="46"/>
        <v>0</v>
      </c>
      <c r="BP36" s="7">
        <f t="shared" si="39"/>
        <v>0</v>
      </c>
      <c r="BQ36" s="7">
        <f t="shared" si="39"/>
        <v>3070.5128205128203</v>
      </c>
      <c r="BR36" s="7">
        <f t="shared" si="39"/>
        <v>0</v>
      </c>
      <c r="BS36" s="7">
        <f t="shared" si="39"/>
        <v>3980.7692307692305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3544</v>
      </c>
      <c r="D37" s="16">
        <f>D71+D72+D73+D74</f>
        <v>3544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1388.9289375000001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565.87106249999988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1589.2</v>
      </c>
      <c r="AH37" s="59" t="str">
        <f t="shared" si="45"/>
        <v>Supreme Semolina</v>
      </c>
      <c r="AI37" s="1">
        <f t="shared" si="31"/>
        <v>1388.9289375000001</v>
      </c>
      <c r="AJ37" s="1">
        <f t="shared" si="32"/>
        <v>0</v>
      </c>
      <c r="AK37" s="1">
        <f t="shared" si="26"/>
        <v>0</v>
      </c>
      <c r="AL37" s="1">
        <f t="shared" si="33"/>
        <v>565.87106249999988</v>
      </c>
      <c r="AM37" s="1">
        <f t="shared" si="34"/>
        <v>1589.2</v>
      </c>
      <c r="AN37" s="1">
        <f t="shared" si="35"/>
        <v>3544</v>
      </c>
      <c r="AP37" s="7">
        <f t="shared" si="36"/>
        <v>1780.6781250000001</v>
      </c>
      <c r="AQ37" s="7">
        <f t="shared" si="36"/>
        <v>0</v>
      </c>
      <c r="AR37" s="7">
        <f t="shared" si="36"/>
        <v>0</v>
      </c>
      <c r="AS37" s="7">
        <f t="shared" si="36"/>
        <v>725.47572115384594</v>
      </c>
      <c r="AT37" s="7">
        <f t="shared" si="36"/>
        <v>2037.4358974358975</v>
      </c>
      <c r="AU37" s="7">
        <f t="shared" si="37"/>
        <v>4543.5897435897441</v>
      </c>
      <c r="AW37" s="46">
        <v>0.45</v>
      </c>
      <c r="AX37" s="46">
        <v>0.3</v>
      </c>
      <c r="AY37" s="72"/>
      <c r="AZ37" s="75">
        <v>0.35</v>
      </c>
      <c r="BA37" s="75">
        <v>0.3</v>
      </c>
      <c r="BC37" s="7">
        <f t="shared" si="38"/>
        <v>801.3051562500001</v>
      </c>
      <c r="BD37" s="7">
        <f t="shared" si="38"/>
        <v>0</v>
      </c>
      <c r="BE37" s="7">
        <f t="shared" si="38"/>
        <v>0</v>
      </c>
      <c r="BF37" s="7">
        <f t="shared" si="38"/>
        <v>253.91650240384607</v>
      </c>
      <c r="BG37" s="7">
        <f t="shared" si="38"/>
        <v>611.23076923076917</v>
      </c>
      <c r="BI37" s="46">
        <v>0.55000000000000004</v>
      </c>
      <c r="BJ37" s="46">
        <v>0.7</v>
      </c>
      <c r="BK37" s="72"/>
      <c r="BL37" s="46">
        <v>0.65</v>
      </c>
      <c r="BM37" s="46">
        <v>0.7</v>
      </c>
      <c r="BO37" s="7">
        <f t="shared" si="46"/>
        <v>979.37296875000015</v>
      </c>
      <c r="BP37" s="7">
        <f t="shared" si="39"/>
        <v>0</v>
      </c>
      <c r="BQ37" s="7">
        <f t="shared" si="39"/>
        <v>0</v>
      </c>
      <c r="BR37" s="7">
        <f t="shared" si="39"/>
        <v>471.5592187499999</v>
      </c>
      <c r="BS37" s="7">
        <f t="shared" si="39"/>
        <v>1426.2051282051282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1641</v>
      </c>
      <c r="D38" s="16">
        <f>D55+D56+D57+D58+D89+D90</f>
        <v>1641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1641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1641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1641</v>
      </c>
      <c r="AP38" s="7">
        <f t="shared" si="36"/>
        <v>2103.8461538461538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2103.8461538461538</v>
      </c>
      <c r="AW38" s="46">
        <v>0.45</v>
      </c>
      <c r="AX38" s="72"/>
      <c r="AY38" s="72"/>
      <c r="AZ38" s="72"/>
      <c r="BA38" s="72"/>
      <c r="BC38" s="7">
        <f t="shared" si="38"/>
        <v>946.73076923076928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0.55000000000000004</v>
      </c>
      <c r="BJ38" s="72"/>
      <c r="BK38" s="72"/>
      <c r="BL38" s="72"/>
      <c r="BM38" s="72"/>
      <c r="BO38" s="7">
        <f t="shared" si="46"/>
        <v>1157.1153846153848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300</v>
      </c>
      <c r="D39" s="16">
        <f>D77+D78+D79+D80</f>
        <v>300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300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300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300</v>
      </c>
      <c r="AP39" s="7">
        <f t="shared" si="36"/>
        <v>384.61538461538458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384.61538461538458</v>
      </c>
      <c r="AW39" s="46">
        <v>0.3</v>
      </c>
      <c r="AX39" s="46">
        <v>0.25</v>
      </c>
      <c r="AY39" s="72"/>
      <c r="AZ39" s="46">
        <v>0.3</v>
      </c>
      <c r="BA39" s="46">
        <v>0.3</v>
      </c>
      <c r="BC39" s="7">
        <f t="shared" si="38"/>
        <v>115.38461538461537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</v>
      </c>
      <c r="BJ39" s="46">
        <v>0.75</v>
      </c>
      <c r="BK39" s="72"/>
      <c r="BL39" s="46">
        <v>0.7</v>
      </c>
      <c r="BM39" s="46">
        <v>0.7</v>
      </c>
      <c r="BO39" s="7">
        <f t="shared" si="46"/>
        <v>269.23076923076917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100246.5</v>
      </c>
      <c r="D40" s="33">
        <f>SUM(D27:D39)</f>
        <v>100246.5</v>
      </c>
      <c r="E40" s="8"/>
      <c r="F40" s="47">
        <f>SUM(F95:F110)/F17</f>
        <v>0.71647130470659881</v>
      </c>
      <c r="G40" s="47">
        <f>SUM(G95:G110)/G17</f>
        <v>0.80331904231275308</v>
      </c>
      <c r="H40" s="47">
        <f>SUM(H95:H110)/H17</f>
        <v>0.86627508011155807</v>
      </c>
      <c r="I40" s="47">
        <f>SUM(I95:I110)/I17</f>
        <v>0.75547245358566106</v>
      </c>
      <c r="J40" s="47">
        <f>(J96+J104)/J23</f>
        <v>0.97446907135092375</v>
      </c>
      <c r="K40" s="47">
        <f>K93/K17</f>
        <v>0.79701258308694223</v>
      </c>
      <c r="L40" s="8"/>
      <c r="M40" s="47">
        <f>SUM(M95:M110)/M17</f>
        <v>0.41299160796016143</v>
      </c>
      <c r="N40" s="47">
        <f>SUM(N95:N110)/N17</f>
        <v>0.59329770021593919</v>
      </c>
      <c r="O40" s="47">
        <f>SUM(O95:O110)/O17</f>
        <v>0.88994655032390868</v>
      </c>
      <c r="P40" s="48">
        <f>P93/P17</f>
        <v>0.65514041018840752</v>
      </c>
      <c r="Q40" s="8"/>
      <c r="R40" s="47">
        <f>SUM(R95:R110)/R17</f>
        <v>0.96023741418764297</v>
      </c>
      <c r="S40" s="47">
        <f t="shared" ref="S40:T40" si="85">SUM(S95:S110)/S17</f>
        <v>0.96692546583850925</v>
      </c>
      <c r="T40" s="47">
        <f t="shared" si="85"/>
        <v>0.96203804347826083</v>
      </c>
      <c r="U40" s="8"/>
      <c r="V40" s="47">
        <f>SUM(V95:V110)/V17</f>
        <v>0.84072766079551919</v>
      </c>
      <c r="W40" s="47">
        <f>SUM(W95:W110)/W17</f>
        <v>0.86769987465121534</v>
      </c>
      <c r="X40" s="47">
        <f>SUM(X95:X110)/X17</f>
        <v>0.91408853408191382</v>
      </c>
      <c r="Y40" s="47">
        <f>Y93/Y17</f>
        <v>0.87082758693814633</v>
      </c>
      <c r="Z40" s="8"/>
      <c r="AA40" s="47">
        <f>SUM(AA95:AA110)/AA17</f>
        <v>0.92920309656218414</v>
      </c>
      <c r="AB40" s="47">
        <f>SUM(AB95:AB110)/AB17</f>
        <v>0.89770783619818006</v>
      </c>
      <c r="AC40" s="47">
        <f>SUM(AC95:AC110)/AC17</f>
        <v>0.89739831666697578</v>
      </c>
      <c r="AD40" s="47">
        <f>AD93/AD17</f>
        <v>0.90704405101767183</v>
      </c>
      <c r="AE40" s="8"/>
      <c r="AF40" s="8"/>
      <c r="AG40" s="54"/>
      <c r="AH40" s="61"/>
      <c r="AI40" s="59">
        <f>SUM(AI27:AI39)</f>
        <v>26804.928937500001</v>
      </c>
      <c r="AJ40" s="59">
        <f t="shared" ref="AJ40:AN40" si="86">SUM(AJ27:AJ39)</f>
        <v>24715</v>
      </c>
      <c r="AK40" s="59">
        <f t="shared" si="86"/>
        <v>8850.75</v>
      </c>
      <c r="AL40" s="59">
        <f t="shared" si="86"/>
        <v>16425.871062499999</v>
      </c>
      <c r="AM40" s="59">
        <f t="shared" si="86"/>
        <v>23449.95</v>
      </c>
      <c r="AN40" s="59">
        <f t="shared" si="86"/>
        <v>100246.5</v>
      </c>
      <c r="AO40" s="57"/>
      <c r="AP40" s="57">
        <f t="shared" si="36"/>
        <v>34365.293509615381</v>
      </c>
      <c r="AQ40" s="57">
        <f t="shared" si="36"/>
        <v>31685.897435897434</v>
      </c>
      <c r="AR40" s="57">
        <f t="shared" si="36"/>
        <v>11347.115384615385</v>
      </c>
      <c r="AS40" s="57">
        <f t="shared" si="36"/>
        <v>21058.809054487177</v>
      </c>
      <c r="AT40" s="57">
        <f t="shared" si="36"/>
        <v>30064.038461538461</v>
      </c>
      <c r="AU40" s="57">
        <f t="shared" si="36"/>
        <v>128521.15384615384</v>
      </c>
      <c r="AV40" s="57"/>
      <c r="AW40" s="57"/>
      <c r="AX40" s="57"/>
      <c r="AY40" s="57"/>
      <c r="AZ40" s="57"/>
      <c r="BA40" s="57"/>
      <c r="BB40" s="57"/>
      <c r="BC40" s="57">
        <f>SUM(BC27:BC39)</f>
        <v>4026.8820793269224</v>
      </c>
      <c r="BD40" s="57">
        <f t="shared" ref="BD40:BG40" si="87">SUM(BD27:BD39)</f>
        <v>16844.871794871793</v>
      </c>
      <c r="BE40" s="57">
        <f t="shared" si="87"/>
        <v>0</v>
      </c>
      <c r="BF40" s="57">
        <f t="shared" si="87"/>
        <v>7195.9036818910254</v>
      </c>
      <c r="BG40" s="57">
        <f t="shared" si="87"/>
        <v>4087.1923076923076</v>
      </c>
      <c r="BH40" s="57"/>
      <c r="BI40" s="57"/>
      <c r="BJ40" s="57"/>
      <c r="BK40" s="57"/>
      <c r="BL40" s="57"/>
      <c r="BM40" s="57"/>
      <c r="BN40" s="57"/>
      <c r="BO40" s="57">
        <f>SUM(BO27:BO39)</f>
        <v>26530.719122596154</v>
      </c>
      <c r="BP40" s="57">
        <f t="shared" ref="BP40:BS40" si="88">SUM(BP27:BP39)</f>
        <v>14841.025641025641</v>
      </c>
      <c r="BQ40" s="57">
        <f t="shared" si="88"/>
        <v>11347.115384615385</v>
      </c>
      <c r="BR40" s="57">
        <f t="shared" si="88"/>
        <v>13862.905372596153</v>
      </c>
      <c r="BS40" s="57">
        <f t="shared" si="88"/>
        <v>25976.846153846156</v>
      </c>
      <c r="BT40" s="57"/>
      <c r="BU40" s="57"/>
      <c r="BV40" s="57"/>
      <c r="BW40" s="57"/>
      <c r="BX40" s="57"/>
      <c r="BY40" s="57"/>
      <c r="BZ40" s="57"/>
      <c r="CA40" s="57">
        <f>SUM(CA27:CA39)</f>
        <v>3807.6923076923076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20871.753874198715</v>
      </c>
      <c r="BD41" s="84"/>
      <c r="BE41" s="84"/>
      <c r="BF41" s="7">
        <f>BF40</f>
        <v>7195.9036818910254</v>
      </c>
      <c r="BG41" s="7">
        <f>BG40</f>
        <v>4087.1923076923076</v>
      </c>
      <c r="BO41" s="84">
        <f>SUM(BO40:BQ40)</f>
        <v>52718.860148237181</v>
      </c>
      <c r="BP41" s="84"/>
      <c r="BQ41" s="84"/>
      <c r="BR41" s="7">
        <f>BR40</f>
        <v>13862.905372596153</v>
      </c>
      <c r="BS41" s="7">
        <f>BS40</f>
        <v>25976.846153846156</v>
      </c>
      <c r="CA41" s="84">
        <f>SUM(CA40:CC40)</f>
        <v>3807.6923076923076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98535</v>
      </c>
      <c r="BC42" s="71">
        <f>BC41/4.33</f>
        <v>4820.2664836486638</v>
      </c>
      <c r="BD42" s="71"/>
      <c r="BE42" s="71"/>
      <c r="BF42" s="7">
        <f>BF41/4.33</f>
        <v>1661.8715200672113</v>
      </c>
      <c r="BG42" s="7">
        <f>BG41/4.33</f>
        <v>943.92432048321189</v>
      </c>
      <c r="BO42" s="71">
        <f>BO41/4.33</f>
        <v>12175.256385274175</v>
      </c>
      <c r="BP42" s="71"/>
      <c r="BQ42" s="71"/>
      <c r="BR42" s="7">
        <f>BR41/4.33</f>
        <v>3201.5947742716289</v>
      </c>
      <c r="BS42" s="7">
        <f>BS41/4.33</f>
        <v>5999.2716290637773</v>
      </c>
      <c r="CA42" s="71">
        <f>CA41/4.33</f>
        <v>879.37466690353529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1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300</v>
      </c>
      <c r="D46" s="36">
        <f t="shared" si="90"/>
        <v>300</v>
      </c>
      <c r="K46" s="7">
        <f>C46</f>
        <v>300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297.5</v>
      </c>
      <c r="D48" s="36">
        <f t="shared" si="90"/>
        <v>297.5</v>
      </c>
      <c r="K48" s="7">
        <f t="shared" si="94"/>
        <v>0</v>
      </c>
      <c r="P48" s="7">
        <f t="shared" si="91"/>
        <v>0</v>
      </c>
      <c r="T48" s="43">
        <f>T66*2.5%</f>
        <v>148.75</v>
      </c>
      <c r="Y48" s="7">
        <f t="shared" si="92"/>
        <v>0</v>
      </c>
      <c r="AD48" s="43">
        <f>AD66*2.5%</f>
        <v>148.75</v>
      </c>
    </row>
    <row r="49" spans="1:30" x14ac:dyDescent="0.25">
      <c r="A49" s="26"/>
      <c r="B49" s="29" t="s">
        <v>85</v>
      </c>
      <c r="C49" s="36">
        <v>200</v>
      </c>
      <c r="D49" s="36">
        <f t="shared" si="90"/>
        <v>200</v>
      </c>
      <c r="K49" s="7">
        <f t="shared" si="94"/>
        <v>0</v>
      </c>
      <c r="T49" s="7">
        <f>C49</f>
        <v>200</v>
      </c>
    </row>
    <row r="50" spans="1:30" x14ac:dyDescent="0.25">
      <c r="A50" s="26"/>
      <c r="B50" s="51" t="s">
        <v>100</v>
      </c>
      <c r="C50" s="36">
        <v>250</v>
      </c>
      <c r="D50" s="36">
        <f t="shared" si="90"/>
        <v>250</v>
      </c>
      <c r="K50" s="7">
        <f t="shared" si="94"/>
        <v>0</v>
      </c>
      <c r="P50" s="7">
        <f t="shared" si="91"/>
        <v>0</v>
      </c>
      <c r="Y50" s="7">
        <f>C50</f>
        <v>250</v>
      </c>
    </row>
    <row r="51" spans="1:30" x14ac:dyDescent="0.25">
      <c r="A51" s="26">
        <v>100000017902</v>
      </c>
      <c r="B51" s="51" t="s">
        <v>97</v>
      </c>
      <c r="C51" s="43">
        <v>3100</v>
      </c>
      <c r="D51" s="36">
        <f t="shared" si="90"/>
        <v>3100</v>
      </c>
      <c r="K51" s="7">
        <f t="shared" si="94"/>
        <v>0</v>
      </c>
      <c r="P51" s="7">
        <f t="shared" si="91"/>
        <v>0</v>
      </c>
      <c r="T51" s="7">
        <f>C51*0.05</f>
        <v>155</v>
      </c>
      <c r="Y51" s="7">
        <f t="shared" si="92"/>
        <v>0</v>
      </c>
      <c r="AD51" s="7">
        <f>C51*0.95</f>
        <v>2945</v>
      </c>
    </row>
    <row r="52" spans="1:30" x14ac:dyDescent="0.25">
      <c r="A52" s="26">
        <v>100000029991</v>
      </c>
      <c r="B52" s="51" t="s">
        <v>98</v>
      </c>
      <c r="C52" s="36">
        <v>200</v>
      </c>
      <c r="D52" s="36">
        <f t="shared" si="90"/>
        <v>200</v>
      </c>
      <c r="K52" s="7">
        <f t="shared" si="94"/>
        <v>0</v>
      </c>
      <c r="P52" s="7">
        <f t="shared" si="91"/>
        <v>0</v>
      </c>
      <c r="T52" s="7">
        <f>C52*0.2</f>
        <v>40</v>
      </c>
      <c r="Y52" s="7">
        <f t="shared" si="92"/>
        <v>0</v>
      </c>
      <c r="AD52" s="7">
        <f>C52*0.8</f>
        <v>160</v>
      </c>
    </row>
    <row r="53" spans="1:30" x14ac:dyDescent="0.25">
      <c r="A53" s="26">
        <v>100000006034</v>
      </c>
      <c r="B53" s="51" t="s">
        <v>99</v>
      </c>
      <c r="C53" s="36">
        <v>21700</v>
      </c>
      <c r="D53" s="36">
        <f t="shared" si="90"/>
        <v>21700</v>
      </c>
      <c r="K53" s="7">
        <v>0</v>
      </c>
      <c r="P53" s="7">
        <f>C53*0.95</f>
        <v>20615</v>
      </c>
      <c r="Y53" s="7">
        <f>C53*0.05</f>
        <v>1085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8500</v>
      </c>
      <c r="D54" s="36">
        <f t="shared" si="90"/>
        <v>8500</v>
      </c>
      <c r="F54" s="37"/>
      <c r="G54" s="37"/>
      <c r="H54" s="37"/>
      <c r="I54" s="37"/>
      <c r="J54" s="37"/>
      <c r="K54" s="7">
        <v>0</v>
      </c>
      <c r="P54" s="7">
        <f>C54*0.2</f>
        <v>1700</v>
      </c>
      <c r="Y54" s="7">
        <v>0</v>
      </c>
      <c r="AD54" s="7">
        <f>C54*0.8</f>
        <v>6800</v>
      </c>
    </row>
    <row r="55" spans="1:30" x14ac:dyDescent="0.25">
      <c r="A55" s="26">
        <v>100000006028</v>
      </c>
      <c r="B55" s="27" t="s">
        <v>32</v>
      </c>
      <c r="C55" s="45"/>
      <c r="D55" s="36">
        <f t="shared" si="90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/>
      <c r="D56" s="36">
        <f t="shared" si="90"/>
        <v>0</v>
      </c>
      <c r="F56" s="38"/>
      <c r="G56" s="38"/>
      <c r="H56" s="38"/>
      <c r="I56" s="38"/>
      <c r="J56" s="38"/>
      <c r="K56" s="7">
        <f t="shared" ref="K56:K58" si="95">C56</f>
        <v>0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95</v>
      </c>
      <c r="D57" s="36">
        <f t="shared" si="90"/>
        <v>95</v>
      </c>
      <c r="F57" s="38"/>
      <c r="G57" s="38"/>
      <c r="H57" s="38"/>
      <c r="I57" s="38"/>
      <c r="J57" s="38"/>
      <c r="K57" s="7">
        <f t="shared" si="95"/>
        <v>95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266</v>
      </c>
      <c r="D58" s="36">
        <f t="shared" si="90"/>
        <v>266</v>
      </c>
      <c r="F58" s="38"/>
      <c r="G58" s="38"/>
      <c r="H58" s="38"/>
      <c r="I58" s="38"/>
      <c r="J58" s="38"/>
      <c r="K58" s="7">
        <f t="shared" si="95"/>
        <v>266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7500</v>
      </c>
      <c r="D63" s="36">
        <f t="shared" si="90"/>
        <v>7500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6375</v>
      </c>
      <c r="AD63" s="7">
        <f>C63*0.15</f>
        <v>1125</v>
      </c>
    </row>
    <row r="64" spans="1:30" x14ac:dyDescent="0.25">
      <c r="A64" s="26">
        <v>100000002986</v>
      </c>
      <c r="B64" s="27" t="s">
        <v>41</v>
      </c>
      <c r="C64" s="45">
        <v>16300</v>
      </c>
      <c r="D64" s="36">
        <f t="shared" si="90"/>
        <v>16300</v>
      </c>
      <c r="K64" s="7">
        <f>C64*0.25</f>
        <v>4075</v>
      </c>
      <c r="P64" s="7">
        <v>0</v>
      </c>
      <c r="Y64" s="7">
        <f>C64*0.5</f>
        <v>8150</v>
      </c>
      <c r="AD64" s="7">
        <f>C64*0.25</f>
        <v>4075</v>
      </c>
    </row>
    <row r="65" spans="1:32" x14ac:dyDescent="0.25">
      <c r="A65" s="26">
        <v>100000017891</v>
      </c>
      <c r="B65" s="51" t="s">
        <v>101</v>
      </c>
      <c r="C65" s="45">
        <v>14500</v>
      </c>
      <c r="D65" s="36">
        <f t="shared" si="90"/>
        <v>14500</v>
      </c>
      <c r="K65" s="7">
        <f>C65</f>
        <v>14500</v>
      </c>
      <c r="Y65" s="7">
        <v>0</v>
      </c>
      <c r="AD65" s="7">
        <v>0</v>
      </c>
    </row>
    <row r="66" spans="1:32" x14ac:dyDescent="0.25">
      <c r="A66" s="26">
        <v>100000018687</v>
      </c>
      <c r="B66" s="51" t="s">
        <v>102</v>
      </c>
      <c r="C66" s="43">
        <v>11900</v>
      </c>
      <c r="D66" s="36">
        <f t="shared" si="90"/>
        <v>11900</v>
      </c>
      <c r="K66" s="7">
        <f t="shared" si="94"/>
        <v>0</v>
      </c>
      <c r="P66" s="7">
        <f t="shared" si="91"/>
        <v>0</v>
      </c>
      <c r="T66" s="7">
        <f>C66*0.5</f>
        <v>5950</v>
      </c>
      <c r="Y66" s="7">
        <f t="shared" si="92"/>
        <v>0</v>
      </c>
      <c r="AD66" s="7">
        <f>C66*0.5</f>
        <v>5950</v>
      </c>
      <c r="AF66" s="7">
        <f>AD66*4.6%</f>
        <v>273.7</v>
      </c>
    </row>
    <row r="67" spans="1:32" x14ac:dyDescent="0.25">
      <c r="A67" s="26">
        <v>100000006037</v>
      </c>
      <c r="B67" s="27" t="s">
        <v>43</v>
      </c>
      <c r="C67" s="43">
        <v>3000</v>
      </c>
      <c r="D67" s="36">
        <f t="shared" si="90"/>
        <v>3000</v>
      </c>
      <c r="K67" s="7">
        <f>C67</f>
        <v>3000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/>
      <c r="D68" s="36">
        <f t="shared" si="90"/>
        <v>0</v>
      </c>
      <c r="K68" s="7">
        <f t="shared" ref="K68:K69" si="96">C68</f>
        <v>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/>
      <c r="D69" s="36">
        <f t="shared" si="90"/>
        <v>0</v>
      </c>
      <c r="K69" s="7">
        <f t="shared" si="96"/>
        <v>0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3000</v>
      </c>
      <c r="D70" s="36">
        <f t="shared" si="90"/>
        <v>3000</v>
      </c>
      <c r="K70" s="7">
        <f>C70*0.1</f>
        <v>300</v>
      </c>
      <c r="P70" s="7">
        <f>C70*0.8</f>
        <v>2400</v>
      </c>
      <c r="Y70" s="7">
        <f t="shared" si="92"/>
        <v>0</v>
      </c>
      <c r="AD70" s="7">
        <f>C70*0.1</f>
        <v>300</v>
      </c>
    </row>
    <row r="71" spans="1:32" x14ac:dyDescent="0.25">
      <c r="A71" s="26">
        <v>100000002976</v>
      </c>
      <c r="B71" s="27" t="s">
        <v>48</v>
      </c>
      <c r="C71" s="45">
        <v>2816</v>
      </c>
      <c r="D71" s="36">
        <f t="shared" si="90"/>
        <v>2816</v>
      </c>
      <c r="K71" s="7">
        <f>C71-Y71-AD71</f>
        <v>989.25541375000012</v>
      </c>
      <c r="P71" s="7">
        <f t="shared" ref="P71:P74" si="97">SUM(M71:O71)</f>
        <v>0</v>
      </c>
      <c r="Y71" s="7">
        <f>0.03*Y17*0.74</f>
        <v>418.74458624999988</v>
      </c>
      <c r="AD71" s="7">
        <f>C71*0.5</f>
        <v>1408</v>
      </c>
    </row>
    <row r="72" spans="1:32" x14ac:dyDescent="0.25">
      <c r="A72" s="26">
        <v>100000002977</v>
      </c>
      <c r="B72" s="27" t="s">
        <v>49</v>
      </c>
      <c r="C72" s="45">
        <v>453</v>
      </c>
      <c r="D72" s="36">
        <f t="shared" si="90"/>
        <v>453</v>
      </c>
      <c r="K72" s="7">
        <f t="shared" ref="K72:K74" si="98">C72-Y72-AD72</f>
        <v>198.23676187499998</v>
      </c>
      <c r="P72" s="7">
        <f t="shared" si="97"/>
        <v>0</v>
      </c>
      <c r="Y72" s="7">
        <f>0.03*Y17*0.13</f>
        <v>73.563238124999984</v>
      </c>
      <c r="AD72" s="7">
        <f>C72*0.4</f>
        <v>181.20000000000002</v>
      </c>
    </row>
    <row r="73" spans="1:32" x14ac:dyDescent="0.25">
      <c r="A73" s="26">
        <v>100000002978</v>
      </c>
      <c r="B73" s="27" t="s">
        <v>50</v>
      </c>
      <c r="C73" s="45">
        <v>150</v>
      </c>
      <c r="D73" s="36">
        <f t="shared" si="90"/>
        <v>150</v>
      </c>
      <c r="K73" s="7">
        <f t="shared" si="98"/>
        <v>104.73031500000002</v>
      </c>
      <c r="P73" s="7">
        <f t="shared" si="97"/>
        <v>0</v>
      </c>
      <c r="Y73" s="7">
        <f>0.03*Y17*0.08</f>
        <v>45.269684999999988</v>
      </c>
    </row>
    <row r="74" spans="1:32" x14ac:dyDescent="0.25">
      <c r="A74" s="26">
        <v>100000015941</v>
      </c>
      <c r="B74" s="27" t="s">
        <v>51</v>
      </c>
      <c r="C74" s="45">
        <v>125</v>
      </c>
      <c r="D74" s="36">
        <f t="shared" si="90"/>
        <v>125</v>
      </c>
      <c r="K74" s="7">
        <f t="shared" si="98"/>
        <v>96.706446875000012</v>
      </c>
      <c r="P74" s="7">
        <f t="shared" si="97"/>
        <v>0</v>
      </c>
      <c r="Y74" s="7">
        <f>0.03*Y17*0.05</f>
        <v>28.293553124999995</v>
      </c>
    </row>
    <row r="75" spans="1:32" x14ac:dyDescent="0.25">
      <c r="A75" s="26">
        <v>100000017899</v>
      </c>
      <c r="B75" s="27" t="s">
        <v>52</v>
      </c>
      <c r="C75" s="74">
        <f>C66*1%</f>
        <v>119</v>
      </c>
      <c r="D75" s="36">
        <f t="shared" si="90"/>
        <v>119</v>
      </c>
      <c r="K75" s="7">
        <f t="shared" si="94"/>
        <v>0</v>
      </c>
      <c r="P75" s="7">
        <f t="shared" si="91"/>
        <v>0</v>
      </c>
      <c r="T75" s="74">
        <f>T66*1%</f>
        <v>59.5</v>
      </c>
      <c r="Y75" s="7">
        <f t="shared" si="92"/>
        <v>0</v>
      </c>
      <c r="AD75" s="74">
        <f>AD66*1%</f>
        <v>59.5</v>
      </c>
    </row>
    <row r="76" spans="1:32" x14ac:dyDescent="0.25">
      <c r="A76" s="26">
        <v>100000017897</v>
      </c>
      <c r="B76" s="27" t="s">
        <v>53</v>
      </c>
      <c r="C76" s="43">
        <f>C66*5%</f>
        <v>595</v>
      </c>
      <c r="D76" s="36">
        <f t="shared" si="90"/>
        <v>595</v>
      </c>
      <c r="K76" s="7">
        <f t="shared" si="94"/>
        <v>0</v>
      </c>
      <c r="P76" s="7">
        <f t="shared" si="91"/>
        <v>0</v>
      </c>
      <c r="T76" s="43">
        <f>T66*5%</f>
        <v>297.5</v>
      </c>
      <c r="Y76" s="7">
        <f t="shared" si="92"/>
        <v>0</v>
      </c>
      <c r="AD76" s="43">
        <f>AD66*5%</f>
        <v>297.5</v>
      </c>
    </row>
    <row r="77" spans="1:32" x14ac:dyDescent="0.25">
      <c r="A77" s="26"/>
      <c r="B77" s="27" t="s">
        <v>121</v>
      </c>
      <c r="C77" s="36">
        <v>200</v>
      </c>
      <c r="D77" s="36">
        <f t="shared" si="90"/>
        <v>200</v>
      </c>
      <c r="K77" s="7">
        <f>C77</f>
        <v>200</v>
      </c>
    </row>
    <row r="78" spans="1:32" x14ac:dyDescent="0.25">
      <c r="A78" s="26"/>
      <c r="B78" s="27" t="s">
        <v>122</v>
      </c>
      <c r="C78" s="36">
        <v>50</v>
      </c>
      <c r="D78" s="36">
        <f t="shared" si="90"/>
        <v>50</v>
      </c>
      <c r="K78" s="7">
        <f t="shared" ref="K78:K80" si="99">C78</f>
        <v>50</v>
      </c>
    </row>
    <row r="79" spans="1:32" x14ac:dyDescent="0.25">
      <c r="A79" s="26"/>
      <c r="B79" s="27" t="s">
        <v>127</v>
      </c>
      <c r="C79" s="36">
        <v>25</v>
      </c>
      <c r="D79" s="36">
        <f t="shared" si="90"/>
        <v>25</v>
      </c>
      <c r="K79" s="7">
        <f t="shared" si="99"/>
        <v>25</v>
      </c>
    </row>
    <row r="80" spans="1:32" x14ac:dyDescent="0.25">
      <c r="A80" s="26"/>
      <c r="B80" s="27" t="s">
        <v>128</v>
      </c>
      <c r="C80" s="36">
        <v>25</v>
      </c>
      <c r="D80" s="36">
        <f t="shared" si="90"/>
        <v>25</v>
      </c>
      <c r="K80" s="7">
        <f t="shared" si="99"/>
        <v>25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f>C82</f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300</v>
      </c>
      <c r="D83" s="36">
        <f t="shared" si="90"/>
        <v>300</v>
      </c>
      <c r="K83" s="7">
        <f t="shared" si="94"/>
        <v>0</v>
      </c>
      <c r="P83" s="7">
        <f t="shared" si="91"/>
        <v>0</v>
      </c>
      <c r="T83" s="7">
        <f>C83</f>
        <v>300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>
        <v>200</v>
      </c>
      <c r="D84" s="36">
        <f t="shared" si="90"/>
        <v>200</v>
      </c>
      <c r="K84" s="7">
        <f t="shared" si="94"/>
        <v>0</v>
      </c>
      <c r="P84" s="7">
        <f t="shared" si="91"/>
        <v>0</v>
      </c>
      <c r="T84" s="7">
        <f>C84</f>
        <v>200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>
        <v>800</v>
      </c>
      <c r="D85" s="36">
        <f t="shared" si="90"/>
        <v>800</v>
      </c>
      <c r="K85" s="7">
        <f t="shared" si="94"/>
        <v>0</v>
      </c>
      <c r="P85" s="7">
        <f t="shared" si="91"/>
        <v>0</v>
      </c>
      <c r="T85" s="7">
        <f t="shared" ref="T85:T87" si="100">C85</f>
        <v>800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>
        <v>600</v>
      </c>
      <c r="D86" s="36">
        <f t="shared" si="90"/>
        <v>600</v>
      </c>
      <c r="K86" s="7">
        <f t="shared" si="94"/>
        <v>0</v>
      </c>
      <c r="P86" s="7">
        <f t="shared" si="91"/>
        <v>0</v>
      </c>
      <c r="T86" s="7">
        <f t="shared" si="100"/>
        <v>600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>
        <v>100</v>
      </c>
      <c r="D87" s="36">
        <f t="shared" si="90"/>
        <v>100</v>
      </c>
      <c r="K87" s="7">
        <f t="shared" si="94"/>
        <v>0</v>
      </c>
      <c r="P87" s="7">
        <f t="shared" si="91"/>
        <v>0</v>
      </c>
      <c r="T87" s="7">
        <f t="shared" si="100"/>
        <v>100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810</v>
      </c>
      <c r="D89" s="36">
        <f t="shared" si="90"/>
        <v>810</v>
      </c>
      <c r="K89" s="7">
        <f>C89</f>
        <v>810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470</v>
      </c>
      <c r="D90" s="36">
        <f t="shared" si="90"/>
        <v>470</v>
      </c>
      <c r="K90" s="7">
        <f>C90</f>
        <v>470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>
        <v>600</v>
      </c>
      <c r="D91" s="36">
        <f t="shared" si="90"/>
        <v>600</v>
      </c>
      <c r="K91" s="7">
        <f>C91</f>
        <v>600</v>
      </c>
    </row>
    <row r="92" spans="1:32" x14ac:dyDescent="0.25">
      <c r="A92" s="26">
        <v>100000025958</v>
      </c>
      <c r="B92" s="27" t="s">
        <v>133</v>
      </c>
      <c r="C92" s="36"/>
      <c r="D92" s="36">
        <f>K92+P92+T92+Y92+AD92</f>
        <v>0</v>
      </c>
      <c r="K92" s="7">
        <f t="shared" ref="K92" si="101">SUM(F92:J92)</f>
        <v>0</v>
      </c>
      <c r="P92" s="7">
        <f>C92</f>
        <v>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100246.5</v>
      </c>
      <c r="D93" s="36">
        <f>K93+P93+T93+Y93+AD93</f>
        <v>100246.5</v>
      </c>
      <c r="K93" s="36">
        <f>SUM(K45:K92)</f>
        <v>26804.928937500001</v>
      </c>
      <c r="P93" s="36">
        <f>SUM(P45:P92)</f>
        <v>24715</v>
      </c>
      <c r="S93" s="36"/>
      <c r="T93" s="36">
        <f>SUM(T45:T92)</f>
        <v>8850.75</v>
      </c>
      <c r="Y93" s="36">
        <f>SUM(Y45:Y92)</f>
        <v>16425.871062499999</v>
      </c>
      <c r="AD93" s="36">
        <f>SUM(AD45:AD92)</f>
        <v>23449.95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3000</v>
      </c>
      <c r="D95" s="36">
        <f t="shared" ref="D95:D111" si="102">K95+P95+R95+Y95+AD95</f>
        <v>3000</v>
      </c>
      <c r="H95" s="7">
        <f>K95</f>
        <v>300</v>
      </c>
      <c r="K95" s="36">
        <f>K70+K47</f>
        <v>300</v>
      </c>
      <c r="M95" s="7">
        <f>P95</f>
        <v>2400</v>
      </c>
      <c r="P95" s="36">
        <f>P70+P47</f>
        <v>2400</v>
      </c>
      <c r="R95" s="36">
        <f>T70+T47</f>
        <v>0</v>
      </c>
      <c r="S95" s="36"/>
      <c r="T95" s="36"/>
      <c r="Y95" s="36">
        <f>Y70+Y47</f>
        <v>0</v>
      </c>
      <c r="AC95" s="7">
        <f>AD95</f>
        <v>300</v>
      </c>
      <c r="AD95" s="36">
        <f>AD70+AD47</f>
        <v>300</v>
      </c>
      <c r="AF95" s="36">
        <f>K95+P95+R95+Y95+AD95</f>
        <v>3000</v>
      </c>
    </row>
    <row r="96" spans="1:32" x14ac:dyDescent="0.25">
      <c r="A96" s="26">
        <v>100000002975</v>
      </c>
      <c r="B96" s="29" t="s">
        <v>21</v>
      </c>
      <c r="C96" s="36">
        <f>C74+C73+C72+C71</f>
        <v>3544</v>
      </c>
      <c r="D96" s="36">
        <f t="shared" si="102"/>
        <v>3544</v>
      </c>
      <c r="J96" s="7">
        <f>K96</f>
        <v>1388.9289375000001</v>
      </c>
      <c r="K96" s="36">
        <f>K74+K73+K72+K71</f>
        <v>1388.9289375000001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85.74606249999988</v>
      </c>
      <c r="W96" s="7">
        <f>0.05*SUM(W99:W110)</f>
        <v>233.8125</v>
      </c>
      <c r="X96" s="7">
        <f>0.05*SUM(X99:X110)</f>
        <v>246.3125</v>
      </c>
      <c r="Y96" s="36">
        <f>Y74+Y73+Y72+Y71</f>
        <v>565.87106249999988</v>
      </c>
      <c r="AA96" s="7">
        <f>AD96*0.5</f>
        <v>794.6</v>
      </c>
      <c r="AB96" s="7">
        <f>AD96*0.25</f>
        <v>397.3</v>
      </c>
      <c r="AC96" s="7">
        <f>AD96*0.25</f>
        <v>397.3</v>
      </c>
      <c r="AD96" s="36">
        <f>AD74+AD73+AD72+AD71</f>
        <v>1589.2</v>
      </c>
      <c r="AF96" s="36">
        <f t="shared" ref="AF96:AF110" si="103">K96+P96+R96+Y96+AD96</f>
        <v>3544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2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3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2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3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16900</v>
      </c>
      <c r="D99" s="36">
        <f t="shared" si="102"/>
        <v>16900</v>
      </c>
      <c r="H99" s="7">
        <f>K99</f>
        <v>4675</v>
      </c>
      <c r="K99" s="36">
        <f>K64+K69+K91</f>
        <v>4675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3260</v>
      </c>
      <c r="W99" s="7">
        <f>Y99*0.3</f>
        <v>2445</v>
      </c>
      <c r="X99" s="7">
        <f>Y99*0.3</f>
        <v>2445</v>
      </c>
      <c r="Y99" s="36">
        <f>Y64+Y69+Y91</f>
        <v>8150</v>
      </c>
      <c r="AC99" s="7">
        <f>AD99</f>
        <v>4075</v>
      </c>
      <c r="AD99" s="36">
        <f>AD64+AD69+AD91</f>
        <v>4075</v>
      </c>
      <c r="AF99" s="36">
        <f t="shared" si="103"/>
        <v>16900</v>
      </c>
    </row>
    <row r="100" spans="1:32" x14ac:dyDescent="0.25">
      <c r="A100" s="26">
        <v>100000002989</v>
      </c>
      <c r="B100" s="29" t="s">
        <v>18</v>
      </c>
      <c r="C100" s="36">
        <f>C63</f>
        <v>7500</v>
      </c>
      <c r="D100" s="36">
        <f t="shared" si="102"/>
        <v>7500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1912.5</v>
      </c>
      <c r="W100" s="7">
        <f>Y100*0.35</f>
        <v>2231.25</v>
      </c>
      <c r="X100" s="7">
        <f>Y100*0.35</f>
        <v>2231.25</v>
      </c>
      <c r="Y100" s="36">
        <f>Y63</f>
        <v>6375</v>
      </c>
      <c r="AC100" s="7">
        <f>AD100</f>
        <v>1125</v>
      </c>
      <c r="AD100" s="36">
        <f>AD63</f>
        <v>1125</v>
      </c>
      <c r="AF100" s="36">
        <f t="shared" si="103"/>
        <v>7500</v>
      </c>
    </row>
    <row r="101" spans="1:32" x14ac:dyDescent="0.25">
      <c r="A101" s="26">
        <v>100000006036</v>
      </c>
      <c r="B101" s="29" t="s">
        <v>70</v>
      </c>
      <c r="C101" s="36">
        <f>C67+C46</f>
        <v>3300</v>
      </c>
      <c r="D101" s="36">
        <f t="shared" si="102"/>
        <v>3300</v>
      </c>
      <c r="I101" s="7">
        <f>K101</f>
        <v>3300</v>
      </c>
      <c r="K101" s="36">
        <f>K67+K46</f>
        <v>3300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3"/>
        <v>3300</v>
      </c>
    </row>
    <row r="102" spans="1:32" x14ac:dyDescent="0.25">
      <c r="A102" s="26">
        <v>100000006046</v>
      </c>
      <c r="B102" s="29" t="s">
        <v>71</v>
      </c>
      <c r="C102" s="36">
        <f>C82+C68</f>
        <v>700</v>
      </c>
      <c r="D102" s="36">
        <f t="shared" si="102"/>
        <v>700</v>
      </c>
      <c r="J102" s="7">
        <f>K102</f>
        <v>700</v>
      </c>
      <c r="K102" s="36">
        <f>K82+K68</f>
        <v>700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3"/>
        <v>700</v>
      </c>
    </row>
    <row r="103" spans="1:32" x14ac:dyDescent="0.25">
      <c r="A103" s="26">
        <v>100000006047</v>
      </c>
      <c r="B103" s="29" t="s">
        <v>72</v>
      </c>
      <c r="C103" s="36">
        <f>C53+C92</f>
        <v>21700</v>
      </c>
      <c r="D103" s="36">
        <f t="shared" si="102"/>
        <v>21700</v>
      </c>
      <c r="H103" s="7">
        <f>K103</f>
        <v>0</v>
      </c>
      <c r="K103" s="36">
        <f>K53+K92</f>
        <v>0</v>
      </c>
      <c r="N103" s="7">
        <f>P103*0.4</f>
        <v>8246</v>
      </c>
      <c r="O103" s="7">
        <f>P103*0.6</f>
        <v>12369</v>
      </c>
      <c r="P103" s="36">
        <f>P53+P92</f>
        <v>20615</v>
      </c>
      <c r="R103" s="36">
        <f>T53</f>
        <v>0</v>
      </c>
      <c r="S103" s="36"/>
      <c r="T103" s="36"/>
      <c r="V103" s="7">
        <f>Y103</f>
        <v>1085</v>
      </c>
      <c r="Y103" s="36">
        <f>Y53+Y92</f>
        <v>1085</v>
      </c>
      <c r="AD103" s="36">
        <f>AD53+AD92</f>
        <v>0</v>
      </c>
      <c r="AF103" s="36">
        <f t="shared" si="103"/>
        <v>21700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1641</v>
      </c>
      <c r="D104" s="36">
        <f t="shared" si="102"/>
        <v>1641</v>
      </c>
      <c r="J104" s="7">
        <f>K104</f>
        <v>1641</v>
      </c>
      <c r="K104" s="36">
        <f>K90+K89+K58+K57+K56+K55</f>
        <v>1641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3"/>
        <v>1641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2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3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2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3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14500</v>
      </c>
      <c r="D107" s="36">
        <f t="shared" si="102"/>
        <v>14500</v>
      </c>
      <c r="F107" s="7">
        <f>K107*0.2</f>
        <v>2900</v>
      </c>
      <c r="G107" s="7">
        <f>K107*0.55</f>
        <v>7975.0000000000009</v>
      </c>
      <c r="H107" s="7">
        <f>K107*0.25</f>
        <v>3625</v>
      </c>
      <c r="K107" s="36">
        <f>K65</f>
        <v>14500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0</v>
      </c>
      <c r="AD107" s="36">
        <f>AD65</f>
        <v>0</v>
      </c>
      <c r="AF107" s="36">
        <f t="shared" si="103"/>
        <v>14500</v>
      </c>
    </row>
    <row r="108" spans="1:32" x14ac:dyDescent="0.25">
      <c r="A108" s="26">
        <v>100000032221</v>
      </c>
      <c r="B108" s="29" t="s">
        <v>77</v>
      </c>
      <c r="C108" s="36">
        <f>C54</f>
        <v>8500</v>
      </c>
      <c r="D108" s="36">
        <f t="shared" si="102"/>
        <v>8500</v>
      </c>
      <c r="G108" s="7">
        <f>K108</f>
        <v>0</v>
      </c>
      <c r="K108" s="36">
        <f>K54</f>
        <v>0</v>
      </c>
      <c r="M108" s="7">
        <f>P108</f>
        <v>1700</v>
      </c>
      <c r="N108" s="7">
        <v>0</v>
      </c>
      <c r="P108" s="36">
        <f>P54</f>
        <v>1700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6800</v>
      </c>
      <c r="AD108" s="36">
        <f>AD54</f>
        <v>6800</v>
      </c>
      <c r="AF108" s="36">
        <f t="shared" si="103"/>
        <v>8500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18411.5</v>
      </c>
      <c r="D109" s="36">
        <f>K109+P109+T109+Y109+AD109</f>
        <v>18411.5</v>
      </c>
      <c r="K109" s="36">
        <f>K83+K66+K49+K51+K52+K48+K75+K76</f>
        <v>0</v>
      </c>
      <c r="P109" s="36">
        <f>P83+P66+P49+P51+P52+P48+P75+P76</f>
        <v>0</v>
      </c>
      <c r="R109" s="36">
        <f>T35</f>
        <v>6455.75</v>
      </c>
      <c r="S109" s="36">
        <f>T36</f>
        <v>2395</v>
      </c>
      <c r="T109" s="36">
        <f>T83+T66+T49+T51+T52+T48+T75+T76+T84+T85+T86+T87</f>
        <v>8850.75</v>
      </c>
      <c r="Y109" s="36">
        <f>Y83+Y66+Y49+Y51+Y52+Y48+Y75+Y76</f>
        <v>0</v>
      </c>
      <c r="AA109" s="7">
        <f>AD35</f>
        <v>6455.75</v>
      </c>
      <c r="AB109" s="7">
        <f>AD36</f>
        <v>3105</v>
      </c>
      <c r="AD109" s="36">
        <f>AD83+AD66+AD49+AD51+AD52+AD48+AD75+AD76+AD84+AD85+AD86+AD87</f>
        <v>9560.75</v>
      </c>
      <c r="AF109" s="36">
        <f t="shared" si="103"/>
        <v>16016.5</v>
      </c>
    </row>
    <row r="110" spans="1:32" x14ac:dyDescent="0.25">
      <c r="B110" s="19" t="s">
        <v>84</v>
      </c>
      <c r="C110" s="16">
        <f>C50</f>
        <v>250</v>
      </c>
      <c r="D110" s="36">
        <f t="shared" si="102"/>
        <v>250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X110" s="7">
        <v>250</v>
      </c>
      <c r="Y110" s="16">
        <f>Y50</f>
        <v>250</v>
      </c>
      <c r="AD110" s="16">
        <f>AD50</f>
        <v>0</v>
      </c>
      <c r="AF110" s="36">
        <f t="shared" si="103"/>
        <v>250</v>
      </c>
    </row>
    <row r="111" spans="1:32" x14ac:dyDescent="0.25">
      <c r="B111" s="16" t="s">
        <v>94</v>
      </c>
      <c r="C111" s="16">
        <f>C77+C78+C79+C80</f>
        <v>300</v>
      </c>
      <c r="D111" s="36">
        <f t="shared" si="102"/>
        <v>300</v>
      </c>
      <c r="G111" s="7">
        <f>K111*0.5</f>
        <v>150</v>
      </c>
      <c r="H111" s="7">
        <f>K111*0.5</f>
        <v>150</v>
      </c>
      <c r="K111" s="16">
        <f>K77+K78+K79+K80</f>
        <v>300</v>
      </c>
      <c r="P111" s="16">
        <f>P77+P78+P79+P80</f>
        <v>0</v>
      </c>
    </row>
    <row r="112" spans="1:32" x14ac:dyDescent="0.25">
      <c r="AC112" s="7">
        <f>AC100+AC99</f>
        <v>5200</v>
      </c>
    </row>
    <row r="113" spans="22:29" x14ac:dyDescent="0.25">
      <c r="AC113" s="7">
        <f>AC112/0.8</f>
        <v>6500</v>
      </c>
    </row>
    <row r="114" spans="22:29" x14ac:dyDescent="0.25">
      <c r="AC114" s="7">
        <f>AC113*0.27</f>
        <v>1755.0000000000002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CE117"/>
  <sheetViews>
    <sheetView topLeftCell="B4" zoomScaleNormal="100" workbookViewId="0">
      <pane xSplit="4" ySplit="4" topLeftCell="BR24" activePane="bottomRight" state="frozen"/>
      <selection activeCell="B4" sqref="B4"/>
      <selection pane="topRight" activeCell="F4" sqref="F4"/>
      <selection pane="bottomLeft" activeCell="B8" sqref="B8"/>
      <selection pane="bottomRight" activeCell="CA40" sqref="CA40:CE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0.30434782608695654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S4" s="7" t="s">
        <v>140</v>
      </c>
      <c r="T4" s="7" t="s">
        <v>139</v>
      </c>
      <c r="V4" s="7">
        <f>R4/0.78</f>
        <v>266.66666666666669</v>
      </c>
      <c r="AA4" s="7">
        <v>240</v>
      </c>
      <c r="AB4" s="7">
        <v>120</v>
      </c>
    </row>
    <row r="5" spans="2:34" x14ac:dyDescent="0.25">
      <c r="R5" s="7">
        <f>4.75*2*24</f>
        <v>228</v>
      </c>
      <c r="S5" s="73">
        <v>3.5</v>
      </c>
      <c r="T5" s="73">
        <v>2.2000000000000002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67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(((240/0.8)*0.09)+240)/0.8</f>
        <v>333.75</v>
      </c>
      <c r="AB8" s="7">
        <f>(((120/0.8)*0.08)+120)/0.8</f>
        <v>165</v>
      </c>
      <c r="AC8" s="5">
        <v>700</v>
      </c>
      <c r="AD8" s="5">
        <f>SUM(AA8:AC8)</f>
        <v>1198.75</v>
      </c>
      <c r="AF8" s="1">
        <f>AD8+Y8+R8+P8+K8</f>
        <v>5993.75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1333.8</v>
      </c>
      <c r="L10" s="3"/>
      <c r="M10" s="5">
        <f t="shared" ref="M10:O10" si="1">M8*M9</f>
        <v>390</v>
      </c>
      <c r="N10" s="5">
        <f t="shared" si="1"/>
        <v>546</v>
      </c>
      <c r="O10" s="5">
        <f t="shared" si="1"/>
        <v>546</v>
      </c>
      <c r="P10" s="5">
        <f>SUM(M10:O10)</f>
        <v>1482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267</v>
      </c>
      <c r="AB10" s="5">
        <f t="shared" si="4"/>
        <v>132</v>
      </c>
      <c r="AC10" s="5">
        <f t="shared" si="4"/>
        <v>553</v>
      </c>
      <c r="AD10" s="5">
        <f>SUM(AA10:AC10)</f>
        <v>952</v>
      </c>
      <c r="AF10" s="1">
        <f>AD10+Y10+R10+P10+K10</f>
        <v>4697.8</v>
      </c>
    </row>
    <row r="11" spans="2:34" x14ac:dyDescent="0.25">
      <c r="B11" s="19" t="s">
        <v>12</v>
      </c>
      <c r="F11" s="5">
        <v>30</v>
      </c>
      <c r="G11" s="5">
        <v>30</v>
      </c>
      <c r="H11" s="5">
        <v>30</v>
      </c>
      <c r="I11" s="5">
        <v>30</v>
      </c>
      <c r="J11" s="5">
        <v>30</v>
      </c>
      <c r="K11" s="5"/>
      <c r="L11" s="3"/>
      <c r="M11" s="5">
        <v>30</v>
      </c>
      <c r="N11" s="5">
        <v>30</v>
      </c>
      <c r="O11" s="5">
        <v>30</v>
      </c>
      <c r="P11" s="5"/>
      <c r="Q11" s="67"/>
      <c r="R11" s="5">
        <v>30</v>
      </c>
      <c r="S11" s="5">
        <v>30</v>
      </c>
      <c r="T11" s="5"/>
      <c r="U11" s="67"/>
      <c r="V11" s="5">
        <v>30</v>
      </c>
      <c r="W11" s="5">
        <v>30</v>
      </c>
      <c r="X11" s="5">
        <v>30</v>
      </c>
      <c r="Y11" s="5"/>
      <c r="Z11" s="4"/>
      <c r="AA11" s="5">
        <v>30</v>
      </c>
      <c r="AB11" s="5">
        <v>30</v>
      </c>
      <c r="AC11" s="5">
        <v>30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26.75</v>
      </c>
      <c r="G15" s="40">
        <f t="shared" ref="G15:J15" si="5">G11-G12-G14-G13</f>
        <v>26.75</v>
      </c>
      <c r="H15" s="40">
        <f t="shared" si="5"/>
        <v>26.75</v>
      </c>
      <c r="I15" s="40">
        <f t="shared" si="5"/>
        <v>26.75</v>
      </c>
      <c r="J15" s="40">
        <f t="shared" si="5"/>
        <v>26.75</v>
      </c>
      <c r="K15" s="1"/>
      <c r="M15" s="40">
        <f>M11-M12-M14-M13</f>
        <v>26.75</v>
      </c>
      <c r="N15" s="40">
        <f t="shared" ref="N15:O15" si="6">N11-N12-N14-N13</f>
        <v>26.75</v>
      </c>
      <c r="O15" s="40">
        <f t="shared" si="6"/>
        <v>26.75</v>
      </c>
      <c r="P15" s="1"/>
      <c r="R15" s="40">
        <f>R11-R12-R14-R13</f>
        <v>27.75</v>
      </c>
      <c r="S15" s="40">
        <f t="shared" ref="S15" si="7">S11-S12-S14-S13</f>
        <v>27.75</v>
      </c>
      <c r="T15" s="40"/>
      <c r="V15" s="40">
        <f t="shared" ref="V15:X15" si="8">V11-V12-V14-V13</f>
        <v>26.75</v>
      </c>
      <c r="W15" s="40">
        <f t="shared" si="8"/>
        <v>26.75</v>
      </c>
      <c r="X15" s="40">
        <f t="shared" si="8"/>
        <v>26.75</v>
      </c>
      <c r="Y15" s="1"/>
      <c r="AA15" s="40">
        <f t="shared" ref="AA15:AC15" si="9">AA11-AA12-AA14-AA13</f>
        <v>27.75</v>
      </c>
      <c r="AB15" s="40">
        <f t="shared" si="9"/>
        <v>27.75</v>
      </c>
      <c r="AC15" s="40">
        <f t="shared" si="9"/>
        <v>27.25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1</v>
      </c>
      <c r="S16" s="21">
        <v>1</v>
      </c>
      <c r="T16" s="21"/>
      <c r="V16" s="21">
        <v>0.95</v>
      </c>
      <c r="W16" s="21">
        <v>0.95</v>
      </c>
      <c r="X16" s="21">
        <v>0.95</v>
      </c>
      <c r="Y16" s="21"/>
      <c r="AA16" s="21">
        <v>1</v>
      </c>
      <c r="AB16" s="21">
        <v>1</v>
      </c>
      <c r="AC16" s="21">
        <v>0.95</v>
      </c>
      <c r="AD16" s="21"/>
      <c r="AF16" s="21"/>
    </row>
    <row r="17" spans="2:83" x14ac:dyDescent="0.25">
      <c r="B17" s="19" t="s">
        <v>17</v>
      </c>
      <c r="F17" s="1">
        <f>F16*F15*F10</f>
        <v>3901.7550000000001</v>
      </c>
      <c r="G17" s="1">
        <f t="shared" ref="G17:J17" si="10">G16*G15*G10</f>
        <v>9389.25</v>
      </c>
      <c r="H17" s="1">
        <f t="shared" si="10"/>
        <v>9389.25</v>
      </c>
      <c r="I17" s="1">
        <f t="shared" si="10"/>
        <v>4131.2699999999995</v>
      </c>
      <c r="J17" s="1">
        <f t="shared" si="10"/>
        <v>5070.1949999999997</v>
      </c>
      <c r="K17" s="5">
        <f>SUM(F17:J17)</f>
        <v>31881.72</v>
      </c>
      <c r="M17" s="1">
        <f t="shared" ref="M17:O17" si="11">M16*M15*M10</f>
        <v>9389.25</v>
      </c>
      <c r="N17" s="1">
        <f t="shared" si="11"/>
        <v>13144.949999999999</v>
      </c>
      <c r="O17" s="1">
        <f t="shared" si="11"/>
        <v>13144.949999999999</v>
      </c>
      <c r="P17" s="5">
        <f>SUM(M17:O17)</f>
        <v>35679.149999999994</v>
      </c>
      <c r="R17" s="1">
        <f>R16*R15*R10</f>
        <v>6327</v>
      </c>
      <c r="S17" s="1">
        <f t="shared" ref="S17" si="12">S16*S15*S10</f>
        <v>1931.3999999999999</v>
      </c>
      <c r="T17" s="1">
        <f>R17+S17</f>
        <v>8258.4</v>
      </c>
      <c r="V17" s="1">
        <f>V16*V15*V10</f>
        <v>7135.83</v>
      </c>
      <c r="W17" s="1">
        <f t="shared" ref="W17:X17" si="13">W16*W15*W10</f>
        <v>5351.8724999999995</v>
      </c>
      <c r="X17" s="1">
        <f t="shared" si="13"/>
        <v>5351.8724999999995</v>
      </c>
      <c r="Y17" s="5">
        <f>SUM(V17:X17)</f>
        <v>17839.574999999997</v>
      </c>
      <c r="AA17" s="70">
        <f>AA16*AA15*AA10</f>
        <v>7409.25</v>
      </c>
      <c r="AB17" s="70">
        <f>AB16*AB15*AB10</f>
        <v>3663</v>
      </c>
      <c r="AC17" s="1">
        <f t="shared" ref="AC17" si="14">AC16*AC15*AC10</f>
        <v>14315.7875</v>
      </c>
      <c r="AD17" s="5">
        <f>SUM(Z17:AC17)</f>
        <v>25388.037499999999</v>
      </c>
      <c r="AF17" s="1">
        <f>AD17+Y17+R17+P17+K17</f>
        <v>117115.48249999998</v>
      </c>
      <c r="AI17" s="46"/>
    </row>
    <row r="19" spans="2:83" x14ac:dyDescent="0.25">
      <c r="B19" s="19" t="s">
        <v>18</v>
      </c>
      <c r="C19" s="16">
        <f>C27+C29+C30+C31+C34+C28</f>
        <v>74300</v>
      </c>
      <c r="D19" s="16">
        <f>D27+D29+D30+D31+D34+D28</f>
        <v>74300</v>
      </c>
      <c r="F19" s="1">
        <f>F17</f>
        <v>3901.7550000000001</v>
      </c>
      <c r="G19" s="1">
        <f t="shared" ref="G19:H19" si="15">G17</f>
        <v>9389.25</v>
      </c>
      <c r="H19" s="1">
        <f t="shared" si="15"/>
        <v>9389.25</v>
      </c>
      <c r="I19" s="1"/>
      <c r="J19" s="1"/>
      <c r="K19" s="5">
        <f t="shared" ref="K19:K25" si="16">SUM(F19:J19)</f>
        <v>22680.255000000001</v>
      </c>
      <c r="M19" s="1">
        <f>M17*0.5</f>
        <v>4694.625</v>
      </c>
      <c r="N19" s="1">
        <f>N17*0.8</f>
        <v>10515.96</v>
      </c>
      <c r="O19" s="1">
        <f>O17</f>
        <v>13144.949999999999</v>
      </c>
      <c r="P19" s="5">
        <f t="shared" ref="P19:P25" si="17">SUM(M19:O19)</f>
        <v>28355.534999999996</v>
      </c>
      <c r="R19" s="1"/>
      <c r="S19" s="1"/>
      <c r="T19" s="1">
        <f t="shared" ref="T19:T24" si="18">R19+S19</f>
        <v>0</v>
      </c>
      <c r="V19" s="1">
        <f>V17-V23</f>
        <v>6586.92</v>
      </c>
      <c r="W19" s="1">
        <f t="shared" ref="W19:X19" si="19">W17-W23</f>
        <v>4940.1899999999996</v>
      </c>
      <c r="X19" s="1">
        <f t="shared" si="19"/>
        <v>4940.1899999999996</v>
      </c>
      <c r="Y19" s="5">
        <f t="shared" ref="Y19:Y25" si="20">SUM(V19:X19)</f>
        <v>16467.3</v>
      </c>
      <c r="AA19" s="1"/>
      <c r="AB19" s="1"/>
      <c r="AC19" s="1">
        <f>AC17*0.95</f>
        <v>13599.998125</v>
      </c>
      <c r="AD19" s="5">
        <f t="shared" ref="AD19:AD25" si="21">SUM(Z19:AC19)</f>
        <v>13599.998125</v>
      </c>
      <c r="AF19" s="1">
        <f t="shared" ref="AF19:AF25" si="22">AD19+Y19+R19+P19+K19</f>
        <v>81103.088124999995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2535.0974999999999</v>
      </c>
      <c r="K20" s="5">
        <f t="shared" si="16"/>
        <v>2535.0974999999999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2535.0974999999999</v>
      </c>
    </row>
    <row r="21" spans="2:83" x14ac:dyDescent="0.25">
      <c r="B21" s="19" t="s">
        <v>19</v>
      </c>
      <c r="C21" s="16">
        <f>C33</f>
        <v>2000</v>
      </c>
      <c r="D21" s="16">
        <f>D33</f>
        <v>2000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4694.625</v>
      </c>
      <c r="N21" s="1">
        <f>N17*0.2</f>
        <v>2628.99</v>
      </c>
      <c r="O21" s="1"/>
      <c r="P21" s="5">
        <f t="shared" si="17"/>
        <v>7323.6149999999998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7323.6149999999998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4131.2699999999995</v>
      </c>
      <c r="J22" s="1"/>
      <c r="K22" s="5">
        <f t="shared" si="16"/>
        <v>4131.2699999999995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21"/>
      <c r="AB22" s="1"/>
      <c r="AC22" s="1"/>
      <c r="AD22" s="5">
        <f t="shared" si="21"/>
        <v>0</v>
      </c>
      <c r="AF22" s="1">
        <f t="shared" si="22"/>
        <v>4131.2699999999995</v>
      </c>
    </row>
    <row r="23" spans="2:83" x14ac:dyDescent="0.25">
      <c r="B23" s="19" t="s">
        <v>21</v>
      </c>
      <c r="C23" s="16">
        <f>C37+C38+C39</f>
        <v>4000</v>
      </c>
      <c r="D23" s="16">
        <f>D37+D38+D39</f>
        <v>4000</v>
      </c>
      <c r="F23" s="1"/>
      <c r="G23" s="1"/>
      <c r="H23" s="1"/>
      <c r="I23" s="1"/>
      <c r="J23" s="1">
        <f>J17*0.5</f>
        <v>2535.0974999999999</v>
      </c>
      <c r="K23" s="5">
        <f t="shared" si="16"/>
        <v>2535.0974999999999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548.91</v>
      </c>
      <c r="W23" s="1">
        <f t="shared" ref="W23:X23" si="23">(W17/W9)*0.06</f>
        <v>411.68249999999995</v>
      </c>
      <c r="X23" s="1">
        <f t="shared" si="23"/>
        <v>411.68249999999995</v>
      </c>
      <c r="Y23" s="5">
        <f t="shared" si="20"/>
        <v>1372.2749999999999</v>
      </c>
      <c r="AA23" s="1">
        <f>AA17*0.08</f>
        <v>592.74</v>
      </c>
      <c r="AB23" s="1">
        <f>AB17*0.08</f>
        <v>293.04000000000002</v>
      </c>
      <c r="AC23" s="1">
        <f>AC17*0.05</f>
        <v>715.78937500000006</v>
      </c>
      <c r="AD23" s="5">
        <f t="shared" si="21"/>
        <v>1601.569375</v>
      </c>
      <c r="AF23" s="1">
        <f t="shared" si="22"/>
        <v>5508.9418749999995</v>
      </c>
    </row>
    <row r="24" spans="2:83" x14ac:dyDescent="0.25">
      <c r="B24" s="19" t="s">
        <v>91</v>
      </c>
      <c r="C24" s="16">
        <f>C35</f>
        <v>13237</v>
      </c>
      <c r="D24" s="16">
        <f>D35</f>
        <v>13237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6327</v>
      </c>
      <c r="S24" s="1"/>
      <c r="T24" s="1">
        <f t="shared" si="18"/>
        <v>6327</v>
      </c>
      <c r="V24" s="1"/>
      <c r="W24" s="1"/>
      <c r="X24" s="1"/>
      <c r="Y24" s="5">
        <f t="shared" si="20"/>
        <v>0</v>
      </c>
      <c r="AA24" s="1">
        <f>AA17-AA23</f>
        <v>6816.51</v>
      </c>
      <c r="AB24" s="1"/>
      <c r="AC24" s="1"/>
      <c r="AD24" s="5">
        <f t="shared" si="21"/>
        <v>6816.51</v>
      </c>
      <c r="AF24" s="1">
        <f t="shared" si="22"/>
        <v>13143.51</v>
      </c>
    </row>
    <row r="25" spans="2:83" x14ac:dyDescent="0.25">
      <c r="B25" s="19" t="s">
        <v>126</v>
      </c>
      <c r="C25" s="16">
        <f>C36</f>
        <v>3100</v>
      </c>
      <c r="D25" s="16">
        <f>D36</f>
        <v>3100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1931.3999999999999</v>
      </c>
      <c r="T25" s="1">
        <f>R25+S25</f>
        <v>1931.3999999999999</v>
      </c>
      <c r="V25" s="1"/>
      <c r="W25" s="1"/>
      <c r="X25" s="1"/>
      <c r="Y25" s="5">
        <f t="shared" si="20"/>
        <v>0</v>
      </c>
      <c r="AA25" s="1"/>
      <c r="AB25" s="1">
        <f>AB17-AB23</f>
        <v>3369.96</v>
      </c>
      <c r="AC25" s="1"/>
      <c r="AD25" s="5">
        <f t="shared" si="21"/>
        <v>3369.96</v>
      </c>
      <c r="AF25" s="1">
        <f t="shared" si="22"/>
        <v>3369.96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A26" s="15"/>
      <c r="AB26" s="15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21500</v>
      </c>
      <c r="D27" s="16">
        <f>D64+D68+D69+D82+D91</f>
        <v>21500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6330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8200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6970.0000000000009</v>
      </c>
      <c r="AH27" s="59" t="str">
        <f>B27</f>
        <v>Mix and Bake</v>
      </c>
      <c r="AI27" s="1">
        <f>K27</f>
        <v>6330</v>
      </c>
      <c r="AJ27" s="1">
        <f>P27</f>
        <v>0</v>
      </c>
      <c r="AK27" s="1">
        <f t="shared" ref="AK27:AK39" si="26">T27</f>
        <v>0</v>
      </c>
      <c r="AL27" s="1">
        <f>Y27</f>
        <v>8200</v>
      </c>
      <c r="AM27" s="1">
        <f>AD27</f>
        <v>6970.0000000000009</v>
      </c>
      <c r="AN27" s="1">
        <f>SUM(AI27:AM27)</f>
        <v>21500</v>
      </c>
      <c r="AP27" s="7">
        <f>AI27/0.78</f>
        <v>8115.3846153846152</v>
      </c>
      <c r="AQ27" s="7">
        <f>AJ27/0.78</f>
        <v>0</v>
      </c>
      <c r="AR27" s="7">
        <f>AK27/0.78</f>
        <v>0</v>
      </c>
      <c r="AS27" s="7">
        <f>AL27/0.78</f>
        <v>10512.820512820512</v>
      </c>
      <c r="AT27" s="7">
        <f>AM27/0.78</f>
        <v>8935.8974358974374</v>
      </c>
      <c r="AU27" s="7">
        <f>SUM(AP27:AT27)</f>
        <v>27564.102564102563</v>
      </c>
      <c r="AW27" s="46">
        <v>0.3</v>
      </c>
      <c r="AX27" s="46">
        <v>0.25</v>
      </c>
      <c r="AY27" s="72"/>
      <c r="AZ27" s="46">
        <v>0.3</v>
      </c>
      <c r="BA27" s="46">
        <v>0.3</v>
      </c>
      <c r="BC27" s="7">
        <f>AW27*AP27</f>
        <v>2434.6153846153843</v>
      </c>
      <c r="BD27" s="7">
        <f>AX27*AQ27</f>
        <v>0</v>
      </c>
      <c r="BE27" s="7">
        <f>AY27*AR27</f>
        <v>0</v>
      </c>
      <c r="BF27" s="7">
        <f>AZ27*AS27</f>
        <v>3153.8461538461534</v>
      </c>
      <c r="BG27" s="7">
        <f>BA27*AT27</f>
        <v>2680.7692307692309</v>
      </c>
      <c r="BI27" s="46">
        <v>0.7</v>
      </c>
      <c r="BJ27" s="46">
        <v>0.75</v>
      </c>
      <c r="BK27" s="72"/>
      <c r="BL27" s="46">
        <v>0.7</v>
      </c>
      <c r="BM27" s="46">
        <v>0.7</v>
      </c>
      <c r="BO27" s="7">
        <f>BI27*AP27</f>
        <v>5680.7692307692305</v>
      </c>
      <c r="BP27" s="7">
        <f>BJ27*AQ27</f>
        <v>0</v>
      </c>
      <c r="BQ27" s="7">
        <f>BK27*AR27</f>
        <v>0</v>
      </c>
      <c r="BR27" s="7">
        <f>BL27*AS27</f>
        <v>7358.9743589743575</v>
      </c>
      <c r="BS27" s="7">
        <f>BM27*AT27</f>
        <v>6255.128205128206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7700</v>
      </c>
      <c r="D28" s="16">
        <f>D63</f>
        <v>7700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6545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1155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6545</v>
      </c>
      <c r="AM28" s="1">
        <f t="shared" ref="AM28:AM39" si="34">AD28</f>
        <v>1155</v>
      </c>
      <c r="AN28" s="1">
        <f t="shared" ref="AN28:AN39" si="35">SUM(AI28:AM28)</f>
        <v>7700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8391.0256410256407</v>
      </c>
      <c r="AT28" s="7">
        <f t="shared" si="36"/>
        <v>1480.7692307692307</v>
      </c>
      <c r="AU28" s="7">
        <f t="shared" ref="AU28:AU39" si="37">SUM(AP28:AT28)</f>
        <v>9871.7948717948711</v>
      </c>
      <c r="AW28" s="72"/>
      <c r="AX28" s="72"/>
      <c r="AY28" s="72"/>
      <c r="AZ28" s="46">
        <v>0.35</v>
      </c>
      <c r="BA28" s="46">
        <v>0.35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2936.8589743589741</v>
      </c>
      <c r="BG28" s="7">
        <f t="shared" si="38"/>
        <v>518.26923076923072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5454.166666666667</v>
      </c>
      <c r="BS28" s="7">
        <f t="shared" si="39"/>
        <v>962.5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23000</v>
      </c>
      <c r="D29" s="16">
        <f>D53+D92</f>
        <v>23000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21620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1380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21620</v>
      </c>
      <c r="AK29" s="1">
        <f t="shared" si="26"/>
        <v>0</v>
      </c>
      <c r="AL29" s="1">
        <f t="shared" si="33"/>
        <v>1380</v>
      </c>
      <c r="AM29" s="1">
        <f t="shared" si="34"/>
        <v>0</v>
      </c>
      <c r="AN29" s="1">
        <f t="shared" si="35"/>
        <v>23000</v>
      </c>
      <c r="AP29" s="7">
        <f t="shared" si="36"/>
        <v>0</v>
      </c>
      <c r="AQ29" s="7">
        <f t="shared" si="36"/>
        <v>27717.948717948719</v>
      </c>
      <c r="AR29" s="7">
        <f t="shared" si="36"/>
        <v>0</v>
      </c>
      <c r="AS29" s="7">
        <f t="shared" si="36"/>
        <v>1769.2307692307693</v>
      </c>
      <c r="AT29" s="7">
        <f t="shared" si="36"/>
        <v>0</v>
      </c>
      <c r="AU29" s="7">
        <f t="shared" si="37"/>
        <v>29487.179487179488</v>
      </c>
      <c r="AW29" s="46">
        <v>0.6</v>
      </c>
      <c r="AX29" s="46">
        <v>0.6</v>
      </c>
      <c r="AY29" s="72"/>
      <c r="AZ29" s="46">
        <v>0.6</v>
      </c>
      <c r="BA29" s="46">
        <v>0.6</v>
      </c>
      <c r="BC29" s="7">
        <f t="shared" si="38"/>
        <v>0</v>
      </c>
      <c r="BD29" s="7">
        <f t="shared" si="38"/>
        <v>16630.76923076923</v>
      </c>
      <c r="BE29" s="7">
        <f t="shared" si="38"/>
        <v>0</v>
      </c>
      <c r="BF29" s="7">
        <f t="shared" si="38"/>
        <v>1061.5384615384614</v>
      </c>
      <c r="BG29" s="7">
        <f t="shared" si="38"/>
        <v>0</v>
      </c>
      <c r="BI29" s="46">
        <v>0.4</v>
      </c>
      <c r="BJ29" s="46">
        <v>0.4</v>
      </c>
      <c r="BK29" s="72"/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11087.179487179488</v>
      </c>
      <c r="BQ29" s="7">
        <f t="shared" si="39"/>
        <v>0</v>
      </c>
      <c r="BR29" s="7">
        <f t="shared" si="39"/>
        <v>707.69230769230774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7500</v>
      </c>
      <c r="D30" s="16">
        <f>D54</f>
        <v>7500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2250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5250</v>
      </c>
      <c r="AH30" s="59" t="str">
        <f t="shared" si="45"/>
        <v>Bakewell</v>
      </c>
      <c r="AI30" s="1">
        <f t="shared" si="31"/>
        <v>0</v>
      </c>
      <c r="AJ30" s="1">
        <f t="shared" si="32"/>
        <v>2250</v>
      </c>
      <c r="AK30" s="1">
        <f t="shared" si="26"/>
        <v>0</v>
      </c>
      <c r="AL30" s="1">
        <f t="shared" si="33"/>
        <v>0</v>
      </c>
      <c r="AM30" s="1">
        <f t="shared" si="34"/>
        <v>5250</v>
      </c>
      <c r="AN30" s="1">
        <f t="shared" si="35"/>
        <v>7500</v>
      </c>
      <c r="AP30" s="7">
        <f t="shared" si="36"/>
        <v>0</v>
      </c>
      <c r="AQ30" s="7">
        <f t="shared" si="36"/>
        <v>2884.6153846153843</v>
      </c>
      <c r="AR30" s="7">
        <f t="shared" si="36"/>
        <v>0</v>
      </c>
      <c r="AS30" s="7">
        <f t="shared" si="36"/>
        <v>0</v>
      </c>
      <c r="AT30" s="7">
        <f t="shared" si="36"/>
        <v>6730.7692307692305</v>
      </c>
      <c r="AU30" s="7">
        <f t="shared" si="37"/>
        <v>9615.3846153846152</v>
      </c>
      <c r="AW30" s="46">
        <v>0.15</v>
      </c>
      <c r="AX30" s="46">
        <v>0.1</v>
      </c>
      <c r="AY30" s="72"/>
      <c r="AZ30" s="46">
        <v>0.15</v>
      </c>
      <c r="BA30" s="46">
        <v>0.15</v>
      </c>
      <c r="BC30" s="7">
        <f t="shared" si="38"/>
        <v>0</v>
      </c>
      <c r="BD30" s="7">
        <f t="shared" si="38"/>
        <v>288.46153846153845</v>
      </c>
      <c r="BE30" s="7">
        <f t="shared" si="38"/>
        <v>0</v>
      </c>
      <c r="BF30" s="7">
        <f t="shared" si="38"/>
        <v>0</v>
      </c>
      <c r="BG30" s="7">
        <f t="shared" si="38"/>
        <v>1009.6153846153845</v>
      </c>
      <c r="BI30" s="46">
        <v>0.85</v>
      </c>
      <c r="BJ30" s="46">
        <v>0.9</v>
      </c>
      <c r="BK30" s="72"/>
      <c r="BL30" s="46">
        <v>0.85</v>
      </c>
      <c r="BM30" s="46">
        <v>0.85</v>
      </c>
      <c r="BO30" s="7">
        <f t="shared" si="46"/>
        <v>0</v>
      </c>
      <c r="BP30" s="7">
        <f t="shared" si="39"/>
        <v>2596.1538461538457</v>
      </c>
      <c r="BQ30" s="7">
        <f t="shared" si="39"/>
        <v>0</v>
      </c>
      <c r="BR30" s="7">
        <f t="shared" si="39"/>
        <v>0</v>
      </c>
      <c r="BS30" s="7">
        <f t="shared" si="39"/>
        <v>5721.1538461538457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14200</v>
      </c>
      <c r="D31" s="16">
        <f>D65</f>
        <v>14200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12780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1420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0</v>
      </c>
      <c r="AH31" s="59" t="str">
        <f t="shared" si="45"/>
        <v>Bua Premium</v>
      </c>
      <c r="AI31" s="1">
        <f t="shared" si="31"/>
        <v>12780</v>
      </c>
      <c r="AJ31" s="1">
        <f t="shared" si="32"/>
        <v>1420</v>
      </c>
      <c r="AK31" s="1">
        <f t="shared" si="26"/>
        <v>0</v>
      </c>
      <c r="AL31" s="1">
        <f t="shared" si="33"/>
        <v>0</v>
      </c>
      <c r="AM31" s="1">
        <f t="shared" si="34"/>
        <v>0</v>
      </c>
      <c r="AN31" s="1">
        <f t="shared" si="35"/>
        <v>14200</v>
      </c>
      <c r="AP31" s="7">
        <f t="shared" si="36"/>
        <v>16384.615384615383</v>
      </c>
      <c r="AQ31" s="7">
        <f t="shared" si="36"/>
        <v>1820.5128205128206</v>
      </c>
      <c r="AR31" s="7">
        <f t="shared" si="36"/>
        <v>0</v>
      </c>
      <c r="AS31" s="7">
        <f t="shared" si="36"/>
        <v>0</v>
      </c>
      <c r="AT31" s="7">
        <f t="shared" si="36"/>
        <v>0</v>
      </c>
      <c r="AU31" s="7">
        <f t="shared" si="37"/>
        <v>18205.128205128203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46"/>
        <v>16384.615384615383</v>
      </c>
      <c r="BP31" s="7">
        <f t="shared" si="39"/>
        <v>1820.5128205128206</v>
      </c>
      <c r="BQ31" s="7">
        <f t="shared" si="39"/>
        <v>0</v>
      </c>
      <c r="BR31" s="7">
        <f t="shared" si="39"/>
        <v>0</v>
      </c>
      <c r="BS31" s="7">
        <f t="shared" si="39"/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3750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3750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3750</v>
      </c>
      <c r="AP32" s="7">
        <f t="shared" si="36"/>
        <v>4807.6923076923076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4807.6923076923076</v>
      </c>
      <c r="AW32" s="46">
        <v>0</v>
      </c>
      <c r="AX32" s="46">
        <v>0</v>
      </c>
      <c r="AY32" s="72"/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72"/>
      <c r="BL32" s="46">
        <v>0.1</v>
      </c>
      <c r="BM32" s="46">
        <v>0.1</v>
      </c>
      <c r="BO32" s="7">
        <f t="shared" si="46"/>
        <v>480.76923076923077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4326.9230769230771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2000</v>
      </c>
      <c r="D33" s="16">
        <f>D47+D70</f>
        <v>2000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1800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200</v>
      </c>
      <c r="AH33" s="59" t="str">
        <f t="shared" si="45"/>
        <v>Noodles Flour</v>
      </c>
      <c r="AI33" s="1">
        <f t="shared" si="31"/>
        <v>0</v>
      </c>
      <c r="AJ33" s="1">
        <f t="shared" si="32"/>
        <v>1800</v>
      </c>
      <c r="AK33" s="1">
        <f t="shared" si="26"/>
        <v>0</v>
      </c>
      <c r="AL33" s="1">
        <f t="shared" si="33"/>
        <v>0</v>
      </c>
      <c r="AM33" s="1">
        <f t="shared" si="34"/>
        <v>200</v>
      </c>
      <c r="AN33" s="1">
        <f t="shared" si="35"/>
        <v>2000</v>
      </c>
      <c r="AP33" s="7">
        <f t="shared" si="36"/>
        <v>0</v>
      </c>
      <c r="AQ33" s="7">
        <f t="shared" si="36"/>
        <v>2307.6923076923076</v>
      </c>
      <c r="AR33" s="7">
        <f t="shared" si="36"/>
        <v>0</v>
      </c>
      <c r="AS33" s="7">
        <f t="shared" si="36"/>
        <v>0</v>
      </c>
      <c r="AT33" s="7">
        <f t="shared" si="36"/>
        <v>256.41025641025641</v>
      </c>
      <c r="AU33" s="7">
        <f t="shared" si="37"/>
        <v>2564.102564102564</v>
      </c>
      <c r="AW33" s="46">
        <v>0.25</v>
      </c>
      <c r="AX33" s="46">
        <v>0.25</v>
      </c>
      <c r="AY33" s="72"/>
      <c r="AZ33" s="46">
        <v>0.25</v>
      </c>
      <c r="BA33" s="46">
        <v>0.25</v>
      </c>
      <c r="BC33" s="7">
        <f t="shared" si="38"/>
        <v>0</v>
      </c>
      <c r="BD33" s="7">
        <f t="shared" si="38"/>
        <v>576.92307692307691</v>
      </c>
      <c r="BE33" s="7">
        <f t="shared" si="38"/>
        <v>0</v>
      </c>
      <c r="BF33" s="7">
        <f t="shared" si="38"/>
        <v>0</v>
      </c>
      <c r="BG33" s="7">
        <f t="shared" si="38"/>
        <v>64.102564102564102</v>
      </c>
      <c r="BI33" s="46">
        <v>0.75</v>
      </c>
      <c r="BJ33" s="46">
        <v>0.75</v>
      </c>
      <c r="BK33" s="72"/>
      <c r="BL33" s="46">
        <v>0.75</v>
      </c>
      <c r="BM33" s="46">
        <v>0.75</v>
      </c>
      <c r="BO33" s="7">
        <f t="shared" si="46"/>
        <v>0</v>
      </c>
      <c r="BP33" s="7">
        <f t="shared" si="39"/>
        <v>1730.7692307692307</v>
      </c>
      <c r="BQ33" s="7">
        <f t="shared" si="39"/>
        <v>0</v>
      </c>
      <c r="BR33" s="7">
        <f t="shared" si="39"/>
        <v>0</v>
      </c>
      <c r="BS33" s="7">
        <f t="shared" si="39"/>
        <v>192.30769230769232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400</v>
      </c>
      <c r="D34" s="16">
        <f>D50</f>
        <v>400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400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400</v>
      </c>
      <c r="AM34" s="1">
        <f t="shared" si="34"/>
        <v>0</v>
      </c>
      <c r="AN34" s="1">
        <f t="shared" si="35"/>
        <v>400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512.82051282051282</v>
      </c>
      <c r="AT34" s="7">
        <f t="shared" si="36"/>
        <v>0</v>
      </c>
      <c r="AU34" s="7">
        <f t="shared" si="37"/>
        <v>512.82051282051282</v>
      </c>
      <c r="AW34" s="46">
        <v>0.35</v>
      </c>
      <c r="AX34" s="46">
        <v>0.35</v>
      </c>
      <c r="AY34" s="72"/>
      <c r="AZ34" s="46">
        <v>0.35</v>
      </c>
      <c r="BA34" s="46">
        <v>0.35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179.48717948717947</v>
      </c>
      <c r="BG34" s="7">
        <f t="shared" si="38"/>
        <v>0</v>
      </c>
      <c r="BI34" s="46">
        <v>0.65</v>
      </c>
      <c r="BJ34" s="46">
        <v>0.65</v>
      </c>
      <c r="BK34" s="72"/>
      <c r="BL34" s="46">
        <v>0.65</v>
      </c>
      <c r="BM34" s="46">
        <v>0.65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333.33333333333337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13237</v>
      </c>
      <c r="D35" s="16">
        <f>D48+D66+D75+D76</f>
        <v>13237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6353.76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6883.24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6353.76</v>
      </c>
      <c r="AL35" s="1">
        <f t="shared" si="33"/>
        <v>0</v>
      </c>
      <c r="AM35" s="1">
        <f t="shared" si="34"/>
        <v>6883.24</v>
      </c>
      <c r="AN35" s="1">
        <f t="shared" si="35"/>
        <v>13237</v>
      </c>
      <c r="AP35" s="7">
        <f t="shared" si="36"/>
        <v>0</v>
      </c>
      <c r="AQ35" s="7">
        <f t="shared" si="36"/>
        <v>0</v>
      </c>
      <c r="AR35" s="7">
        <f t="shared" si="36"/>
        <v>8145.8461538461543</v>
      </c>
      <c r="AS35" s="7">
        <f t="shared" si="36"/>
        <v>0</v>
      </c>
      <c r="AT35" s="7">
        <f t="shared" si="36"/>
        <v>8824.6666666666661</v>
      </c>
      <c r="AU35" s="7">
        <f t="shared" si="37"/>
        <v>16970.51282051282</v>
      </c>
      <c r="AW35" s="72"/>
      <c r="AX35" s="72"/>
      <c r="AY35" s="46">
        <v>0</v>
      </c>
      <c r="AZ35" s="72"/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72"/>
      <c r="BJ35" s="72"/>
      <c r="BK35" s="46">
        <v>1</v>
      </c>
      <c r="BL35" s="72"/>
      <c r="BM35" s="75">
        <v>1</v>
      </c>
      <c r="BO35" s="7">
        <f t="shared" si="46"/>
        <v>0</v>
      </c>
      <c r="BP35" s="7">
        <f t="shared" si="39"/>
        <v>0</v>
      </c>
      <c r="BQ35" s="7">
        <f t="shared" si="39"/>
        <v>8145.8461538461543</v>
      </c>
      <c r="BR35" s="7">
        <f t="shared" si="39"/>
        <v>0</v>
      </c>
      <c r="BS35" s="7">
        <f t="shared" si="39"/>
        <v>8824.6666666666661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3100</v>
      </c>
      <c r="D36" s="16">
        <f>D49+D51+D52+D83+D88+D84+D85+D86+D87</f>
        <v>3100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1580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1520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1580</v>
      </c>
      <c r="AL36" s="1">
        <f t="shared" si="33"/>
        <v>0</v>
      </c>
      <c r="AM36" s="1">
        <f t="shared" si="34"/>
        <v>1520</v>
      </c>
      <c r="AN36" s="1">
        <f t="shared" si="35"/>
        <v>3100</v>
      </c>
      <c r="AP36" s="7">
        <f t="shared" si="36"/>
        <v>0</v>
      </c>
      <c r="AQ36" s="7">
        <f t="shared" si="36"/>
        <v>0</v>
      </c>
      <c r="AR36" s="7">
        <f t="shared" si="36"/>
        <v>2025.6410256410256</v>
      </c>
      <c r="AS36" s="7">
        <f t="shared" si="36"/>
        <v>0</v>
      </c>
      <c r="AT36" s="7">
        <f t="shared" si="36"/>
        <v>1948.7179487179487</v>
      </c>
      <c r="AU36" s="7">
        <f t="shared" si="37"/>
        <v>3974.3589743589746</v>
      </c>
      <c r="AW36" s="72"/>
      <c r="AX36" s="72"/>
      <c r="AY36" s="46">
        <v>0</v>
      </c>
      <c r="AZ36" s="72"/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72"/>
      <c r="BJ36" s="72"/>
      <c r="BK36" s="46">
        <v>1</v>
      </c>
      <c r="BL36" s="72"/>
      <c r="BM36" s="75">
        <v>1</v>
      </c>
      <c r="BO36" s="7">
        <f t="shared" si="46"/>
        <v>0</v>
      </c>
      <c r="BP36" s="7">
        <f t="shared" si="39"/>
        <v>0</v>
      </c>
      <c r="BQ36" s="7">
        <f t="shared" si="39"/>
        <v>2025.6410256410256</v>
      </c>
      <c r="BR36" s="7">
        <f t="shared" si="39"/>
        <v>0</v>
      </c>
      <c r="BS36" s="7">
        <f t="shared" si="39"/>
        <v>1948.7179487179487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2500</v>
      </c>
      <c r="D37" s="16">
        <f>D71+D72+D73+D74</f>
        <v>2500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839.81275000000016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535.18724999999995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1125</v>
      </c>
      <c r="AH37" s="59" t="str">
        <f t="shared" si="45"/>
        <v>Supreme Semolina</v>
      </c>
      <c r="AI37" s="1">
        <f t="shared" si="31"/>
        <v>839.81275000000016</v>
      </c>
      <c r="AJ37" s="1">
        <f t="shared" si="32"/>
        <v>0</v>
      </c>
      <c r="AK37" s="1">
        <f t="shared" si="26"/>
        <v>0</v>
      </c>
      <c r="AL37" s="1">
        <f t="shared" si="33"/>
        <v>535.18724999999995</v>
      </c>
      <c r="AM37" s="1">
        <f t="shared" si="34"/>
        <v>1125</v>
      </c>
      <c r="AN37" s="1">
        <f t="shared" si="35"/>
        <v>2500</v>
      </c>
      <c r="AP37" s="7">
        <f t="shared" si="36"/>
        <v>1076.6830128205129</v>
      </c>
      <c r="AQ37" s="7">
        <f t="shared" si="36"/>
        <v>0</v>
      </c>
      <c r="AR37" s="7">
        <f t="shared" si="36"/>
        <v>0</v>
      </c>
      <c r="AS37" s="7">
        <f t="shared" si="36"/>
        <v>686.13749999999993</v>
      </c>
      <c r="AT37" s="7">
        <f t="shared" si="36"/>
        <v>1442.3076923076922</v>
      </c>
      <c r="AU37" s="7">
        <f t="shared" si="37"/>
        <v>3205.1282051282051</v>
      </c>
      <c r="AW37" s="46">
        <v>0.45</v>
      </c>
      <c r="AX37" s="46">
        <v>0.3</v>
      </c>
      <c r="AY37" s="72"/>
      <c r="AZ37" s="75">
        <v>0.35</v>
      </c>
      <c r="BA37" s="75">
        <v>0.3</v>
      </c>
      <c r="BC37" s="7">
        <f t="shared" si="38"/>
        <v>484.5073557692308</v>
      </c>
      <c r="BD37" s="7">
        <f t="shared" si="38"/>
        <v>0</v>
      </c>
      <c r="BE37" s="7">
        <f t="shared" si="38"/>
        <v>0</v>
      </c>
      <c r="BF37" s="7">
        <f t="shared" si="38"/>
        <v>240.14812499999996</v>
      </c>
      <c r="BG37" s="7">
        <f t="shared" si="38"/>
        <v>432.69230769230762</v>
      </c>
      <c r="BI37" s="46">
        <v>0.55000000000000004</v>
      </c>
      <c r="BJ37" s="46">
        <v>0.7</v>
      </c>
      <c r="BK37" s="72"/>
      <c r="BL37" s="46">
        <v>0.65</v>
      </c>
      <c r="BM37" s="46">
        <v>0.7</v>
      </c>
      <c r="BO37" s="7">
        <f t="shared" si="46"/>
        <v>592.17565705128209</v>
      </c>
      <c r="BP37" s="7">
        <f t="shared" si="39"/>
        <v>0</v>
      </c>
      <c r="BQ37" s="7">
        <f t="shared" si="39"/>
        <v>0</v>
      </c>
      <c r="BR37" s="7">
        <f t="shared" si="39"/>
        <v>445.989375</v>
      </c>
      <c r="BS37" s="7">
        <f t="shared" si="39"/>
        <v>1009.6153846153844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1300</v>
      </c>
      <c r="D38" s="16">
        <f>D55+D56+D57+D58+D89+D90</f>
        <v>1300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1300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1300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1300</v>
      </c>
      <c r="AP38" s="7">
        <f t="shared" si="36"/>
        <v>1666.6666666666665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1666.6666666666665</v>
      </c>
      <c r="AW38" s="46">
        <v>0.45</v>
      </c>
      <c r="AX38" s="72"/>
      <c r="AY38" s="72"/>
      <c r="AZ38" s="72"/>
      <c r="BA38" s="72"/>
      <c r="BC38" s="7">
        <f t="shared" si="38"/>
        <v>750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0.55000000000000004</v>
      </c>
      <c r="BJ38" s="72"/>
      <c r="BK38" s="72"/>
      <c r="BL38" s="72"/>
      <c r="BM38" s="72"/>
      <c r="BO38" s="7">
        <f t="shared" si="46"/>
        <v>916.66666666666663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200</v>
      </c>
      <c r="D39" s="16">
        <f>D77+D78+D79+D80</f>
        <v>200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200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200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200</v>
      </c>
      <c r="AP39" s="7">
        <f t="shared" si="36"/>
        <v>256.41025641025641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256.41025641025641</v>
      </c>
      <c r="AW39" s="46">
        <v>0.3</v>
      </c>
      <c r="AX39" s="46">
        <v>0.25</v>
      </c>
      <c r="AY39" s="72"/>
      <c r="AZ39" s="46">
        <v>0.3</v>
      </c>
      <c r="BA39" s="46">
        <v>0.3</v>
      </c>
      <c r="BC39" s="7">
        <f t="shared" si="38"/>
        <v>76.92307692307692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</v>
      </c>
      <c r="BJ39" s="46">
        <v>0.75</v>
      </c>
      <c r="BK39" s="72"/>
      <c r="BL39" s="46">
        <v>0.7</v>
      </c>
      <c r="BM39" s="46">
        <v>0.7</v>
      </c>
      <c r="BO39" s="7">
        <f t="shared" si="46"/>
        <v>179.48717948717947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100387</v>
      </c>
      <c r="D40" s="33">
        <f>SUM(D27:D39)</f>
        <v>100387</v>
      </c>
      <c r="E40" s="8"/>
      <c r="F40" s="47">
        <f>SUM(F95:F110)/F17</f>
        <v>0.65508982496338186</v>
      </c>
      <c r="G40" s="47">
        <f>SUM(G95:G110)/G17</f>
        <v>0.81667864845434934</v>
      </c>
      <c r="H40" s="47">
        <f>SUM(H95:H110)/H17</f>
        <v>0.8718481241845728</v>
      </c>
      <c r="I40" s="47">
        <f>SUM(I95:I110)/I17</f>
        <v>0.90771118808501994</v>
      </c>
      <c r="J40" s="47">
        <f>(J96+J104)/J23</f>
        <v>0.84407512926031447</v>
      </c>
      <c r="K40" s="47">
        <f>K93/K17</f>
        <v>0.79041572255198278</v>
      </c>
      <c r="L40" s="8"/>
      <c r="M40" s="47">
        <f>SUM(M95:M110)/M17</f>
        <v>0.43134435657800146</v>
      </c>
      <c r="N40" s="47">
        <f>SUM(N95:N110)/N17</f>
        <v>0.67950049258460476</v>
      </c>
      <c r="O40" s="47">
        <f>SUM(O95:O110)/O17</f>
        <v>1.0732638770021949</v>
      </c>
      <c r="P40" s="48">
        <f>P93/P17</f>
        <v>0.75926696684197925</v>
      </c>
      <c r="Q40" s="8"/>
      <c r="R40" s="47">
        <f>SUM(R95:R110)/R17</f>
        <v>1.0042294926505453</v>
      </c>
      <c r="S40" s="47">
        <f t="shared" ref="S40:T40" si="85">SUM(S95:S110)/S17</f>
        <v>0.81805943874909393</v>
      </c>
      <c r="T40" s="47">
        <f t="shared" si="85"/>
        <v>0.96068972198004465</v>
      </c>
      <c r="U40" s="8"/>
      <c r="V40" s="47">
        <f>SUM(V95:V110)/V17</f>
        <v>0.91994866049219215</v>
      </c>
      <c r="W40" s="47">
        <f>SUM(W95:W110)/W17</f>
        <v>0.98055306810840515</v>
      </c>
      <c r="X40" s="47">
        <f>SUM(X95:X110)/X17</f>
        <v>0.98055306810840515</v>
      </c>
      <c r="Y40" s="47">
        <f>Y93/Y17</f>
        <v>0.95631130506191997</v>
      </c>
      <c r="Z40" s="8"/>
      <c r="AA40" s="48">
        <f>SUM(AA95:AA110)/AA17</f>
        <v>1.0049249249249248</v>
      </c>
      <c r="AB40" s="47">
        <f>SUM(AB95:AB110)/AB17</f>
        <v>0.49174174174174173</v>
      </c>
      <c r="AC40" s="47">
        <f>SUM(AC95:AC110)/AC17</f>
        <v>0.96789994961855919</v>
      </c>
      <c r="AD40" s="47">
        <f>AD93/AD17</f>
        <v>0.9100049580437245</v>
      </c>
      <c r="AE40" s="8"/>
      <c r="AF40" s="8"/>
      <c r="AG40" s="54"/>
      <c r="AH40" s="61"/>
      <c r="AI40" s="59">
        <f>SUM(AI27:AI39)</f>
        <v>25199.812750000001</v>
      </c>
      <c r="AJ40" s="59">
        <f t="shared" ref="AJ40:AN40" si="86">SUM(AJ27:AJ39)</f>
        <v>27090</v>
      </c>
      <c r="AK40" s="59">
        <f t="shared" si="86"/>
        <v>7933.76</v>
      </c>
      <c r="AL40" s="59">
        <f t="shared" si="86"/>
        <v>17060.187249999999</v>
      </c>
      <c r="AM40" s="59">
        <f t="shared" si="86"/>
        <v>23103.239999999998</v>
      </c>
      <c r="AN40" s="59">
        <f t="shared" si="86"/>
        <v>100387</v>
      </c>
      <c r="AO40" s="57"/>
      <c r="AP40" s="57">
        <f t="shared" si="36"/>
        <v>32307.452243589745</v>
      </c>
      <c r="AQ40" s="57">
        <f t="shared" si="36"/>
        <v>34730.769230769227</v>
      </c>
      <c r="AR40" s="57">
        <f t="shared" si="36"/>
        <v>10171.48717948718</v>
      </c>
      <c r="AS40" s="57">
        <f t="shared" si="36"/>
        <v>21872.034935897434</v>
      </c>
      <c r="AT40" s="57">
        <f t="shared" si="36"/>
        <v>29619.538461538457</v>
      </c>
      <c r="AU40" s="57">
        <f t="shared" si="36"/>
        <v>128701.28205128205</v>
      </c>
      <c r="AV40" s="57"/>
      <c r="AW40" s="57"/>
      <c r="AX40" s="57"/>
      <c r="AY40" s="57"/>
      <c r="AZ40" s="57"/>
      <c r="BA40" s="57"/>
      <c r="BB40" s="57"/>
      <c r="BC40" s="57">
        <f>SUM(BC27:BC39)</f>
        <v>3746.0458173076922</v>
      </c>
      <c r="BD40" s="57">
        <f t="shared" ref="BD40:BG40" si="87">SUM(BD27:BD39)</f>
        <v>17496.153846153848</v>
      </c>
      <c r="BE40" s="57">
        <f t="shared" si="87"/>
        <v>0</v>
      </c>
      <c r="BF40" s="57">
        <f t="shared" si="87"/>
        <v>7571.8788942307674</v>
      </c>
      <c r="BG40" s="57">
        <f t="shared" si="87"/>
        <v>4705.4487179487187</v>
      </c>
      <c r="BH40" s="57"/>
      <c r="BI40" s="57"/>
      <c r="BJ40" s="57"/>
      <c r="BK40" s="57"/>
      <c r="BL40" s="57"/>
      <c r="BM40" s="57"/>
      <c r="BN40" s="57"/>
      <c r="BO40" s="57">
        <f>SUM(BO27:BO39)</f>
        <v>24234.483349358972</v>
      </c>
      <c r="BP40" s="57">
        <f t="shared" ref="BP40:BS40" si="88">SUM(BP27:BP39)</f>
        <v>17234.615384615387</v>
      </c>
      <c r="BQ40" s="57">
        <f t="shared" si="88"/>
        <v>10171.48717948718</v>
      </c>
      <c r="BR40" s="57">
        <f t="shared" si="88"/>
        <v>14300.156041666665</v>
      </c>
      <c r="BS40" s="57">
        <f t="shared" si="88"/>
        <v>24914.089743589739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21242.199663461539</v>
      </c>
      <c r="BD41" s="84"/>
      <c r="BE41" s="84"/>
      <c r="BF41" s="7">
        <f>BF40</f>
        <v>7571.8788942307674</v>
      </c>
      <c r="BG41" s="7">
        <f>BG40</f>
        <v>4705.4487179487187</v>
      </c>
      <c r="BO41" s="84">
        <f>SUM(BO40:BQ40)</f>
        <v>51640.585913461538</v>
      </c>
      <c r="BP41" s="84"/>
      <c r="BQ41" s="84"/>
      <c r="BR41" s="7">
        <f>BR40</f>
        <v>14300.156041666665</v>
      </c>
      <c r="BS41" s="7">
        <f>BS40</f>
        <v>24914.089743589739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98650</v>
      </c>
      <c r="BC42" s="71">
        <f>BC41/4.33</f>
        <v>4905.8197837093621</v>
      </c>
      <c r="BD42" s="71"/>
      <c r="BE42" s="71"/>
      <c r="BF42" s="7">
        <f>BF41/4.33</f>
        <v>1748.7018231479833</v>
      </c>
      <c r="BG42" s="7">
        <f>BG41/4.33</f>
        <v>1086.7087108426601</v>
      </c>
      <c r="BO42" s="71">
        <f>BO41/4.33</f>
        <v>11926.232312577722</v>
      </c>
      <c r="BP42" s="71"/>
      <c r="BQ42" s="71"/>
      <c r="BR42" s="7">
        <f>BR41/4.33</f>
        <v>3302.5764530408001</v>
      </c>
      <c r="BS42" s="7">
        <f>BS41/4.33</f>
        <v>5753.8313495588309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1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305</v>
      </c>
      <c r="D48" s="36">
        <f t="shared" si="90"/>
        <v>305</v>
      </c>
      <c r="K48" s="7">
        <f t="shared" si="94"/>
        <v>0</v>
      </c>
      <c r="P48" s="7">
        <f t="shared" si="91"/>
        <v>0</v>
      </c>
      <c r="T48" s="43">
        <f>T66*2.5%</f>
        <v>146.4</v>
      </c>
      <c r="Y48" s="7">
        <f t="shared" si="92"/>
        <v>0</v>
      </c>
      <c r="AD48" s="43">
        <f>AD66*2.5%</f>
        <v>158.60000000000002</v>
      </c>
    </row>
    <row r="49" spans="1:30" x14ac:dyDescent="0.25">
      <c r="A49" s="26"/>
      <c r="B49" s="29" t="s">
        <v>85</v>
      </c>
      <c r="C49" s="36">
        <v>100</v>
      </c>
      <c r="D49" s="36">
        <f t="shared" si="90"/>
        <v>100</v>
      </c>
      <c r="K49" s="7">
        <f t="shared" si="94"/>
        <v>0</v>
      </c>
      <c r="T49" s="7">
        <f>C49</f>
        <v>100</v>
      </c>
    </row>
    <row r="50" spans="1:30" x14ac:dyDescent="0.25">
      <c r="A50" s="26"/>
      <c r="B50" s="51" t="s">
        <v>100</v>
      </c>
      <c r="C50" s="36">
        <v>400</v>
      </c>
      <c r="D50" s="36">
        <f t="shared" si="90"/>
        <v>400</v>
      </c>
      <c r="K50" s="7">
        <f t="shared" si="94"/>
        <v>0</v>
      </c>
      <c r="P50" s="7">
        <f t="shared" si="91"/>
        <v>0</v>
      </c>
      <c r="Y50" s="7">
        <f>C50</f>
        <v>400</v>
      </c>
    </row>
    <row r="51" spans="1:30" x14ac:dyDescent="0.25">
      <c r="A51" s="26">
        <v>100000017902</v>
      </c>
      <c r="B51" s="51" t="s">
        <v>97</v>
      </c>
      <c r="C51" s="43">
        <v>1600</v>
      </c>
      <c r="D51" s="36">
        <f t="shared" si="90"/>
        <v>1600</v>
      </c>
      <c r="K51" s="7">
        <f t="shared" si="94"/>
        <v>0</v>
      </c>
      <c r="P51" s="7">
        <f t="shared" si="91"/>
        <v>0</v>
      </c>
      <c r="T51" s="7">
        <f>C51*0.1</f>
        <v>160</v>
      </c>
      <c r="Y51" s="7">
        <f t="shared" si="92"/>
        <v>0</v>
      </c>
      <c r="AD51" s="7">
        <f>C51*0.9</f>
        <v>1440</v>
      </c>
    </row>
    <row r="52" spans="1:30" x14ac:dyDescent="0.25">
      <c r="A52" s="26">
        <v>100000029991</v>
      </c>
      <c r="B52" s="51" t="s">
        <v>98</v>
      </c>
      <c r="C52" s="36">
        <v>100</v>
      </c>
      <c r="D52" s="36">
        <f t="shared" si="90"/>
        <v>100</v>
      </c>
      <c r="K52" s="7">
        <f t="shared" si="94"/>
        <v>0</v>
      </c>
      <c r="P52" s="7">
        <f t="shared" si="91"/>
        <v>0</v>
      </c>
      <c r="T52" s="7">
        <f>C52*0.2</f>
        <v>20</v>
      </c>
      <c r="Y52" s="7">
        <f t="shared" si="92"/>
        <v>0</v>
      </c>
      <c r="AD52" s="7">
        <f>C52*0.8</f>
        <v>80</v>
      </c>
    </row>
    <row r="53" spans="1:30" x14ac:dyDescent="0.25">
      <c r="A53" s="26">
        <v>100000006034</v>
      </c>
      <c r="B53" s="51" t="s">
        <v>99</v>
      </c>
      <c r="C53" s="36">
        <v>23000</v>
      </c>
      <c r="D53" s="36">
        <f t="shared" si="90"/>
        <v>23000</v>
      </c>
      <c r="K53" s="7">
        <v>0</v>
      </c>
      <c r="P53" s="7">
        <f>C53*0.94</f>
        <v>21620</v>
      </c>
      <c r="Y53" s="7">
        <f>C53*0.06</f>
        <v>1380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7500</v>
      </c>
      <c r="D54" s="36">
        <f t="shared" si="90"/>
        <v>7500</v>
      </c>
      <c r="F54" s="37"/>
      <c r="G54" s="37"/>
      <c r="H54" s="37"/>
      <c r="I54" s="37"/>
      <c r="J54" s="37"/>
      <c r="P54" s="7">
        <f>C54*0.3</f>
        <v>2250</v>
      </c>
      <c r="Y54" s="7">
        <v>0</v>
      </c>
      <c r="AD54" s="7">
        <f>C54*0.7</f>
        <v>5250</v>
      </c>
    </row>
    <row r="55" spans="1:30" x14ac:dyDescent="0.25">
      <c r="A55" s="26">
        <v>100000006028</v>
      </c>
      <c r="B55" s="27" t="s">
        <v>32</v>
      </c>
      <c r="C55" s="45"/>
      <c r="D55" s="36">
        <f t="shared" si="90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/>
      <c r="D56" s="36">
        <f t="shared" si="90"/>
        <v>0</v>
      </c>
      <c r="F56" s="38"/>
      <c r="G56" s="38"/>
      <c r="H56" s="38"/>
      <c r="I56" s="38"/>
      <c r="J56" s="38"/>
      <c r="K56" s="7">
        <f t="shared" ref="K56:K58" si="95">C56</f>
        <v>0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60</v>
      </c>
      <c r="D57" s="36">
        <f t="shared" si="90"/>
        <v>60</v>
      </c>
      <c r="F57" s="38"/>
      <c r="G57" s="38"/>
      <c r="H57" s="38"/>
      <c r="I57" s="38"/>
      <c r="J57" s="38"/>
      <c r="K57" s="7">
        <f t="shared" si="95"/>
        <v>60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240</v>
      </c>
      <c r="D58" s="36">
        <f t="shared" si="90"/>
        <v>240</v>
      </c>
      <c r="F58" s="38"/>
      <c r="G58" s="38"/>
      <c r="H58" s="38"/>
      <c r="I58" s="38"/>
      <c r="J58" s="38"/>
      <c r="K58" s="7">
        <f t="shared" si="95"/>
        <v>240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7700</v>
      </c>
      <c r="D63" s="36">
        <f t="shared" si="90"/>
        <v>7700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6545</v>
      </c>
      <c r="AD63" s="7">
        <f>C63*0.15</f>
        <v>1155</v>
      </c>
    </row>
    <row r="64" spans="1:30" x14ac:dyDescent="0.25">
      <c r="A64" s="26">
        <v>100000002986</v>
      </c>
      <c r="B64" s="27" t="s">
        <v>41</v>
      </c>
      <c r="C64" s="45">
        <v>20500</v>
      </c>
      <c r="D64" s="36">
        <f t="shared" si="90"/>
        <v>20500</v>
      </c>
      <c r="K64" s="7">
        <f>C64*0.26</f>
        <v>5330</v>
      </c>
      <c r="P64" s="7">
        <v>0</v>
      </c>
      <c r="Y64" s="7">
        <f>C64*0.4</f>
        <v>8200</v>
      </c>
      <c r="AD64" s="7">
        <f>C64*0.34</f>
        <v>6970.0000000000009</v>
      </c>
    </row>
    <row r="65" spans="1:32" x14ac:dyDescent="0.25">
      <c r="A65" s="26">
        <v>100000017891</v>
      </c>
      <c r="B65" s="51" t="s">
        <v>101</v>
      </c>
      <c r="C65" s="45">
        <v>14200</v>
      </c>
      <c r="D65" s="36">
        <f t="shared" si="90"/>
        <v>14200</v>
      </c>
      <c r="K65" s="7">
        <f>C65*0.9</f>
        <v>12780</v>
      </c>
      <c r="P65" s="7">
        <f>C65*0.1</f>
        <v>1420</v>
      </c>
      <c r="Y65" s="7">
        <v>0</v>
      </c>
    </row>
    <row r="66" spans="1:32" x14ac:dyDescent="0.25">
      <c r="A66" s="26">
        <v>100000018687</v>
      </c>
      <c r="B66" s="51" t="s">
        <v>102</v>
      </c>
      <c r="C66" s="43">
        <v>12200</v>
      </c>
      <c r="D66" s="36">
        <f t="shared" si="90"/>
        <v>12200</v>
      </c>
      <c r="K66" s="7">
        <f t="shared" si="94"/>
        <v>0</v>
      </c>
      <c r="P66" s="7">
        <f t="shared" si="91"/>
        <v>0</v>
      </c>
      <c r="T66" s="7">
        <f>C66*0.48</f>
        <v>5856</v>
      </c>
      <c r="Y66" s="7">
        <f t="shared" si="92"/>
        <v>0</v>
      </c>
      <c r="AD66" s="7">
        <f>C66*0.52</f>
        <v>6344</v>
      </c>
      <c r="AF66" s="7">
        <f>AD66*4.6%</f>
        <v>291.82400000000001</v>
      </c>
    </row>
    <row r="67" spans="1:32" x14ac:dyDescent="0.25">
      <c r="A67" s="26">
        <v>100000006037</v>
      </c>
      <c r="B67" s="27" t="s">
        <v>43</v>
      </c>
      <c r="C67" s="43">
        <f>3750-C46</f>
        <v>3630</v>
      </c>
      <c r="D67" s="36">
        <f t="shared" si="90"/>
        <v>3630</v>
      </c>
      <c r="K67" s="7">
        <f>C67</f>
        <v>3630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/>
      <c r="D68" s="36">
        <f t="shared" si="90"/>
        <v>0</v>
      </c>
      <c r="K68" s="7">
        <f t="shared" ref="K68:K69" si="96">C68</f>
        <v>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/>
      <c r="D69" s="36">
        <f t="shared" si="90"/>
        <v>0</v>
      </c>
      <c r="K69" s="7">
        <f t="shared" si="96"/>
        <v>0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2000</v>
      </c>
      <c r="D70" s="36">
        <f t="shared" si="90"/>
        <v>2000</v>
      </c>
      <c r="K70" s="7">
        <f t="shared" si="94"/>
        <v>0</v>
      </c>
      <c r="P70" s="7">
        <f>C70*0.9</f>
        <v>1800</v>
      </c>
      <c r="Y70" s="7">
        <f t="shared" si="92"/>
        <v>0</v>
      </c>
      <c r="AD70" s="7">
        <f>C70*0.1</f>
        <v>200</v>
      </c>
    </row>
    <row r="71" spans="1:32" x14ac:dyDescent="0.25">
      <c r="A71" s="26">
        <v>100000002976</v>
      </c>
      <c r="B71" s="27" t="s">
        <v>48</v>
      </c>
      <c r="C71" s="45">
        <v>1900</v>
      </c>
      <c r="D71" s="36">
        <f t="shared" si="90"/>
        <v>1900</v>
      </c>
      <c r="K71" s="7">
        <f>C71-Y71-AD71</f>
        <v>553.96143500000017</v>
      </c>
      <c r="P71" s="7">
        <f t="shared" ref="P71:P74" si="97">SUM(M71:O71)</f>
        <v>0</v>
      </c>
      <c r="Y71" s="7">
        <f>0.03*Y17*0.74</f>
        <v>396.03856499999995</v>
      </c>
      <c r="AD71" s="7">
        <f>C71*0.5</f>
        <v>950</v>
      </c>
    </row>
    <row r="72" spans="1:32" x14ac:dyDescent="0.25">
      <c r="A72" s="26">
        <v>100000002977</v>
      </c>
      <c r="B72" s="27" t="s">
        <v>49</v>
      </c>
      <c r="C72" s="45">
        <v>350</v>
      </c>
      <c r="D72" s="36">
        <f t="shared" si="90"/>
        <v>350</v>
      </c>
      <c r="K72" s="7">
        <f t="shared" ref="K72:K74" si="98">C72-Y72-AD72</f>
        <v>105.4256575</v>
      </c>
      <c r="P72" s="7">
        <f t="shared" si="97"/>
        <v>0</v>
      </c>
      <c r="Y72" s="7">
        <f>0.03*Y17*0.13</f>
        <v>69.5743425</v>
      </c>
      <c r="AD72" s="7">
        <f>C72*0.5</f>
        <v>175</v>
      </c>
    </row>
    <row r="73" spans="1:32" x14ac:dyDescent="0.25">
      <c r="A73" s="26">
        <v>100000002978</v>
      </c>
      <c r="B73" s="27" t="s">
        <v>50</v>
      </c>
      <c r="C73" s="45">
        <v>150</v>
      </c>
      <c r="D73" s="36">
        <f t="shared" si="90"/>
        <v>150</v>
      </c>
      <c r="K73" s="7">
        <f t="shared" si="98"/>
        <v>107.18502000000001</v>
      </c>
      <c r="P73" s="7">
        <f t="shared" si="97"/>
        <v>0</v>
      </c>
      <c r="Y73" s="7">
        <f>0.03*Y17*0.08</f>
        <v>42.814979999999998</v>
      </c>
    </row>
    <row r="74" spans="1:32" x14ac:dyDescent="0.25">
      <c r="A74" s="26">
        <v>100000015941</v>
      </c>
      <c r="B74" s="27" t="s">
        <v>51</v>
      </c>
      <c r="C74" s="45">
        <v>100</v>
      </c>
      <c r="D74" s="36">
        <f t="shared" si="90"/>
        <v>100</v>
      </c>
      <c r="K74" s="7">
        <f t="shared" si="98"/>
        <v>73.240637500000005</v>
      </c>
      <c r="P74" s="7">
        <f t="shared" si="97"/>
        <v>0</v>
      </c>
      <c r="Y74" s="7">
        <f>0.03*Y17*0.05</f>
        <v>26.759362499999998</v>
      </c>
    </row>
    <row r="75" spans="1:32" x14ac:dyDescent="0.25">
      <c r="A75" s="26">
        <v>100000017899</v>
      </c>
      <c r="B75" s="27" t="s">
        <v>52</v>
      </c>
      <c r="C75" s="74">
        <f>C66*1%</f>
        <v>122</v>
      </c>
      <c r="D75" s="36">
        <f t="shared" si="90"/>
        <v>122</v>
      </c>
      <c r="K75" s="7">
        <f t="shared" si="94"/>
        <v>0</v>
      </c>
      <c r="P75" s="7">
        <f t="shared" si="91"/>
        <v>0</v>
      </c>
      <c r="T75" s="74">
        <f>T66*1%</f>
        <v>58.56</v>
      </c>
      <c r="Y75" s="7">
        <f t="shared" si="92"/>
        <v>0</v>
      </c>
      <c r="AD75" s="74">
        <f>AD66*1%</f>
        <v>63.440000000000005</v>
      </c>
    </row>
    <row r="76" spans="1:32" x14ac:dyDescent="0.25">
      <c r="A76" s="26">
        <v>100000017897</v>
      </c>
      <c r="B76" s="27" t="s">
        <v>53</v>
      </c>
      <c r="C76" s="43">
        <f>C66*5%</f>
        <v>610</v>
      </c>
      <c r="D76" s="36">
        <f t="shared" si="90"/>
        <v>610</v>
      </c>
      <c r="K76" s="7">
        <f t="shared" si="94"/>
        <v>0</v>
      </c>
      <c r="P76" s="7">
        <f t="shared" si="91"/>
        <v>0</v>
      </c>
      <c r="T76" s="43">
        <f>T66*5%</f>
        <v>292.8</v>
      </c>
      <c r="Y76" s="7">
        <f t="shared" si="92"/>
        <v>0</v>
      </c>
      <c r="AD76" s="43">
        <f>AD66*5%</f>
        <v>317.20000000000005</v>
      </c>
    </row>
    <row r="77" spans="1:32" x14ac:dyDescent="0.25">
      <c r="A77" s="26"/>
      <c r="B77" s="27" t="s">
        <v>121</v>
      </c>
      <c r="C77" s="36">
        <v>125</v>
      </c>
      <c r="D77" s="36">
        <f t="shared" si="90"/>
        <v>125</v>
      </c>
      <c r="K77" s="7">
        <f>C77</f>
        <v>125</v>
      </c>
    </row>
    <row r="78" spans="1:32" x14ac:dyDescent="0.25">
      <c r="A78" s="26"/>
      <c r="B78" s="27" t="s">
        <v>122</v>
      </c>
      <c r="C78" s="36">
        <v>50</v>
      </c>
      <c r="D78" s="36">
        <f t="shared" si="90"/>
        <v>50</v>
      </c>
      <c r="K78" s="7">
        <f t="shared" ref="K78:K80" si="99">C78</f>
        <v>50</v>
      </c>
    </row>
    <row r="79" spans="1:32" x14ac:dyDescent="0.25">
      <c r="A79" s="26"/>
      <c r="B79" s="27" t="s">
        <v>127</v>
      </c>
      <c r="C79" s="36">
        <v>15</v>
      </c>
      <c r="D79" s="36">
        <f t="shared" si="90"/>
        <v>15</v>
      </c>
      <c r="K79" s="7">
        <f t="shared" si="99"/>
        <v>15</v>
      </c>
    </row>
    <row r="80" spans="1:32" x14ac:dyDescent="0.25">
      <c r="A80" s="26"/>
      <c r="B80" s="27" t="s">
        <v>128</v>
      </c>
      <c r="C80" s="36">
        <v>10</v>
      </c>
      <c r="D80" s="36">
        <f t="shared" si="90"/>
        <v>10</v>
      </c>
      <c r="K80" s="7">
        <f t="shared" si="99"/>
        <v>10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100</v>
      </c>
      <c r="D83" s="36">
        <f t="shared" si="90"/>
        <v>100</v>
      </c>
      <c r="K83" s="7">
        <f t="shared" si="94"/>
        <v>0</v>
      </c>
      <c r="P83" s="7">
        <f t="shared" si="91"/>
        <v>0</v>
      </c>
      <c r="T83" s="7">
        <f>C83</f>
        <v>100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>
        <v>100</v>
      </c>
      <c r="D84" s="36">
        <f t="shared" si="90"/>
        <v>100</v>
      </c>
      <c r="K84" s="7">
        <f t="shared" si="94"/>
        <v>0</v>
      </c>
      <c r="P84" s="7">
        <f t="shared" si="91"/>
        <v>0</v>
      </c>
      <c r="T84" s="7">
        <f>C84</f>
        <v>100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>
        <v>400</v>
      </c>
      <c r="D85" s="36">
        <f t="shared" si="90"/>
        <v>400</v>
      </c>
      <c r="K85" s="7">
        <f t="shared" si="94"/>
        <v>0</v>
      </c>
      <c r="P85" s="7">
        <f t="shared" si="91"/>
        <v>0</v>
      </c>
      <c r="T85" s="7">
        <f t="shared" ref="T85:T87" si="100">C85</f>
        <v>400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>
        <v>700</v>
      </c>
      <c r="D86" s="36">
        <f t="shared" si="90"/>
        <v>700</v>
      </c>
      <c r="K86" s="7">
        <f t="shared" si="94"/>
        <v>0</v>
      </c>
      <c r="P86" s="7">
        <f t="shared" si="91"/>
        <v>0</v>
      </c>
      <c r="T86" s="7">
        <f t="shared" si="100"/>
        <v>700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>
        <v>0</v>
      </c>
      <c r="D87" s="36">
        <f t="shared" si="90"/>
        <v>0</v>
      </c>
      <c r="K87" s="7">
        <f t="shared" si="94"/>
        <v>0</v>
      </c>
      <c r="P87" s="7">
        <f t="shared" si="91"/>
        <v>0</v>
      </c>
      <c r="T87" s="7">
        <f t="shared" si="100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600</v>
      </c>
      <c r="D89" s="36">
        <f t="shared" si="90"/>
        <v>600</v>
      </c>
      <c r="K89" s="7">
        <f>C89</f>
        <v>600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400</v>
      </c>
      <c r="D90" s="36">
        <f t="shared" si="90"/>
        <v>400</v>
      </c>
      <c r="K90" s="7">
        <f>C90</f>
        <v>400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>
        <v>300</v>
      </c>
      <c r="D91" s="36">
        <f t="shared" si="90"/>
        <v>300</v>
      </c>
      <c r="K91" s="7">
        <f>C91</f>
        <v>300</v>
      </c>
    </row>
    <row r="92" spans="1:32" x14ac:dyDescent="0.25">
      <c r="A92" s="26">
        <v>100000025958</v>
      </c>
      <c r="B92" s="27" t="s">
        <v>133</v>
      </c>
      <c r="C92" s="36"/>
      <c r="D92" s="36">
        <f>K92+P92+T92+Y92+AD92</f>
        <v>0</v>
      </c>
      <c r="K92" s="7">
        <f t="shared" ref="K92" si="101">SUM(F92:J92)</f>
        <v>0</v>
      </c>
      <c r="P92" s="7">
        <f>C92</f>
        <v>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100387</v>
      </c>
      <c r="D93" s="36">
        <f>K93+P93+T93+Y93+AD93</f>
        <v>100387</v>
      </c>
      <c r="K93" s="36">
        <f>SUM(K45:K92)</f>
        <v>25199.812750000001</v>
      </c>
      <c r="P93" s="36">
        <f>SUM(P45:P92)</f>
        <v>27090</v>
      </c>
      <c r="S93" s="36"/>
      <c r="T93" s="36">
        <f>SUM(T45:T92)</f>
        <v>7933.76</v>
      </c>
      <c r="Y93" s="36">
        <f>SUM(Y45:Y92)</f>
        <v>17060.187249999999</v>
      </c>
      <c r="AD93" s="36">
        <f>SUM(AD45:AD92)</f>
        <v>23103.24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2000</v>
      </c>
      <c r="D95" s="36">
        <f t="shared" ref="D95:D111" si="102">K95+P95+R95+Y95+AD95</f>
        <v>2000</v>
      </c>
      <c r="K95" s="36">
        <f>K70+K47</f>
        <v>0</v>
      </c>
      <c r="M95" s="7">
        <f>P95</f>
        <v>1800</v>
      </c>
      <c r="P95" s="36">
        <f>P70+P47</f>
        <v>1800</v>
      </c>
      <c r="R95" s="36">
        <f>T70+T47</f>
        <v>0</v>
      </c>
      <c r="S95" s="36"/>
      <c r="T95" s="36"/>
      <c r="Y95" s="36">
        <f>Y70+Y47</f>
        <v>0</v>
      </c>
      <c r="AC95" s="7">
        <f>AD95</f>
        <v>200</v>
      </c>
      <c r="AD95" s="36">
        <f>AD70+AD47</f>
        <v>200</v>
      </c>
      <c r="AF95" s="36">
        <f>K95+P95+R95+Y95+AD95</f>
        <v>2000</v>
      </c>
    </row>
    <row r="96" spans="1:32" x14ac:dyDescent="0.25">
      <c r="A96" s="26">
        <v>100000002975</v>
      </c>
      <c r="B96" s="29" t="s">
        <v>21</v>
      </c>
      <c r="C96" s="36">
        <f>C74+C73+C72+C71</f>
        <v>2500</v>
      </c>
      <c r="D96" s="36">
        <f t="shared" si="102"/>
        <v>2500</v>
      </c>
      <c r="J96" s="7">
        <f>K96</f>
        <v>839.81275000000016</v>
      </c>
      <c r="K96" s="36">
        <f>K74+K73+K72+K71</f>
        <v>839.81275000000016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-58.902750000000083</v>
      </c>
      <c r="W96" s="7">
        <f>0.06*SUM(W99:W110)</f>
        <v>297.04500000000002</v>
      </c>
      <c r="X96" s="7">
        <f>0.06*SUM(X99:X110)</f>
        <v>297.04500000000002</v>
      </c>
      <c r="Y96" s="36">
        <f>Y74+Y73+Y72+Y71</f>
        <v>535.18724999999995</v>
      </c>
      <c r="AA96" s="7">
        <f>AD96*0.5</f>
        <v>562.5</v>
      </c>
      <c r="AB96" s="7">
        <f>AD96*0.25</f>
        <v>281.25</v>
      </c>
      <c r="AC96" s="7">
        <f>AD96*0.25</f>
        <v>281.25</v>
      </c>
      <c r="AD96" s="36">
        <f>AD74+AD73+AD72+AD71</f>
        <v>1125</v>
      </c>
      <c r="AF96" s="36">
        <f t="shared" ref="AF96:AF110" si="103">K96+P96+R96+Y96+AD96</f>
        <v>2500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2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3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2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3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20800</v>
      </c>
      <c r="D99" s="36">
        <f t="shared" si="102"/>
        <v>20800</v>
      </c>
      <c r="H99" s="7">
        <f>K99</f>
        <v>5630</v>
      </c>
      <c r="K99" s="36">
        <f>K64+K69+K91</f>
        <v>5630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3280</v>
      </c>
      <c r="W99" s="7">
        <f>Y99*0.3</f>
        <v>2460</v>
      </c>
      <c r="X99" s="7">
        <f>Y99*0.3</f>
        <v>2460</v>
      </c>
      <c r="Y99" s="36">
        <f>Y64+Y69+Y91</f>
        <v>8200</v>
      </c>
      <c r="AC99" s="7">
        <f>AD99</f>
        <v>6970.0000000000009</v>
      </c>
      <c r="AD99" s="36">
        <f>AD64+AD69+AD91</f>
        <v>6970.0000000000009</v>
      </c>
      <c r="AF99" s="36">
        <f t="shared" si="103"/>
        <v>20800</v>
      </c>
    </row>
    <row r="100" spans="1:32" x14ac:dyDescent="0.25">
      <c r="A100" s="26">
        <v>100000002989</v>
      </c>
      <c r="B100" s="29" t="s">
        <v>18</v>
      </c>
      <c r="C100" s="36">
        <f>C63</f>
        <v>7700</v>
      </c>
      <c r="D100" s="36">
        <f t="shared" si="102"/>
        <v>7700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1963.5</v>
      </c>
      <c r="W100" s="7">
        <f>Y100*0.35</f>
        <v>2290.75</v>
      </c>
      <c r="X100" s="7">
        <f>Y100*0.35</f>
        <v>2290.75</v>
      </c>
      <c r="Y100" s="36">
        <f>Y63</f>
        <v>6545</v>
      </c>
      <c r="AC100" s="7">
        <f>AD100</f>
        <v>1155</v>
      </c>
      <c r="AD100" s="36">
        <f>AD63</f>
        <v>1155</v>
      </c>
      <c r="AF100" s="36">
        <f t="shared" si="103"/>
        <v>7700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02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3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700</v>
      </c>
      <c r="D102" s="36">
        <f t="shared" si="102"/>
        <v>700</v>
      </c>
      <c r="J102" s="7">
        <f>K102</f>
        <v>700</v>
      </c>
      <c r="K102" s="36">
        <f>K82+K68</f>
        <v>700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3"/>
        <v>700</v>
      </c>
    </row>
    <row r="103" spans="1:32" x14ac:dyDescent="0.25">
      <c r="A103" s="26">
        <v>100000006047</v>
      </c>
      <c r="B103" s="29" t="s">
        <v>72</v>
      </c>
      <c r="C103" s="36">
        <f>C53+C92</f>
        <v>23000</v>
      </c>
      <c r="D103" s="36">
        <f t="shared" si="102"/>
        <v>23000</v>
      </c>
      <c r="H103" s="7">
        <f>K103</f>
        <v>0</v>
      </c>
      <c r="K103" s="36">
        <f>K53+K92</f>
        <v>0</v>
      </c>
      <c r="N103" s="7">
        <f>P103*0.4</f>
        <v>8648</v>
      </c>
      <c r="O103" s="7">
        <f>P103*0.6</f>
        <v>12972</v>
      </c>
      <c r="P103" s="36">
        <f>P53+P92</f>
        <v>21620</v>
      </c>
      <c r="R103" s="36">
        <f>T53</f>
        <v>0</v>
      </c>
      <c r="S103" s="36"/>
      <c r="T103" s="36"/>
      <c r="V103" s="7">
        <f>Y103</f>
        <v>1380</v>
      </c>
      <c r="Y103" s="36">
        <f>Y53+Y92</f>
        <v>1380</v>
      </c>
      <c r="AD103" s="36">
        <f>AD53+AD92</f>
        <v>0</v>
      </c>
      <c r="AF103" s="36">
        <f t="shared" si="103"/>
        <v>23000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1300</v>
      </c>
      <c r="D104" s="36">
        <f t="shared" si="102"/>
        <v>1300</v>
      </c>
      <c r="J104" s="7">
        <f>K104</f>
        <v>1300</v>
      </c>
      <c r="K104" s="36">
        <f>K90+K89+K58+K57+K56+K55</f>
        <v>1300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3"/>
        <v>1300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2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3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2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3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14200</v>
      </c>
      <c r="D107" s="36">
        <f t="shared" si="102"/>
        <v>14200</v>
      </c>
      <c r="F107" s="7">
        <f>K107*0.2</f>
        <v>2556</v>
      </c>
      <c r="G107" s="7">
        <f>K107*0.6</f>
        <v>7668</v>
      </c>
      <c r="H107" s="7">
        <f>K107*0.2</f>
        <v>2556</v>
      </c>
      <c r="K107" s="36">
        <f>K65</f>
        <v>12780</v>
      </c>
      <c r="N107" s="7">
        <f>P107*0.2</f>
        <v>284</v>
      </c>
      <c r="O107" s="7">
        <f>P107*0.8</f>
        <v>1136</v>
      </c>
      <c r="P107" s="36">
        <f>P65</f>
        <v>1420</v>
      </c>
      <c r="R107" s="36">
        <f>T65</f>
        <v>0</v>
      </c>
      <c r="S107" s="36"/>
      <c r="T107" s="36"/>
      <c r="Y107" s="36">
        <f>Y65</f>
        <v>0</v>
      </c>
      <c r="AC107" s="7">
        <f>AD107</f>
        <v>0</v>
      </c>
      <c r="AD107" s="36">
        <f>AD65</f>
        <v>0</v>
      </c>
      <c r="AF107" s="36">
        <f t="shared" si="103"/>
        <v>14200</v>
      </c>
    </row>
    <row r="108" spans="1:32" x14ac:dyDescent="0.25">
      <c r="A108" s="26">
        <v>100000032221</v>
      </c>
      <c r="B108" s="29" t="s">
        <v>77</v>
      </c>
      <c r="C108" s="36">
        <f>C54</f>
        <v>7500</v>
      </c>
      <c r="D108" s="36">
        <f t="shared" si="102"/>
        <v>7500</v>
      </c>
      <c r="G108" s="7">
        <f>K108</f>
        <v>0</v>
      </c>
      <c r="K108" s="36">
        <f>K54</f>
        <v>0</v>
      </c>
      <c r="M108" s="7">
        <f>P108</f>
        <v>2250</v>
      </c>
      <c r="P108" s="36">
        <f>P54</f>
        <v>2250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5250</v>
      </c>
      <c r="AD108" s="36">
        <f>AD54</f>
        <v>5250</v>
      </c>
      <c r="AF108" s="36">
        <f t="shared" si="103"/>
        <v>7500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16337</v>
      </c>
      <c r="D109" s="36">
        <f>K109+P109+T109+Y109+AD109</f>
        <v>16337</v>
      </c>
      <c r="K109" s="36">
        <f>K83+K66+K49+K51+K52+K48+K75+K76</f>
        <v>0</v>
      </c>
      <c r="P109" s="36">
        <f>P83+P66+P49+P51+P52+P48+P75+P76</f>
        <v>0</v>
      </c>
      <c r="R109" s="36">
        <f>T35</f>
        <v>6353.76</v>
      </c>
      <c r="S109" s="36">
        <f>T36</f>
        <v>1580</v>
      </c>
      <c r="T109" s="36">
        <f>T83+T66+T49+T51+T52+T48+T75+T76+T84+T85+T86+T87</f>
        <v>7933.76</v>
      </c>
      <c r="Y109" s="36">
        <f>Y83+Y66+Y49+Y51+Y52+Y48+Y75+Y76</f>
        <v>0</v>
      </c>
      <c r="AA109" s="7">
        <f>AD35</f>
        <v>6883.24</v>
      </c>
      <c r="AB109" s="7">
        <f>AD36</f>
        <v>1520</v>
      </c>
      <c r="AD109" s="36">
        <f>AD83+AD66+AD49+AD51+AD52+AD48+AD75+AD76+AD84+AD85+AD86+AD87</f>
        <v>8403.24</v>
      </c>
      <c r="AF109" s="36">
        <f t="shared" si="103"/>
        <v>14757</v>
      </c>
    </row>
    <row r="110" spans="1:32" x14ac:dyDescent="0.25">
      <c r="B110" s="19" t="s">
        <v>84</v>
      </c>
      <c r="C110" s="16">
        <f>C50</f>
        <v>400</v>
      </c>
      <c r="D110" s="36">
        <f t="shared" si="102"/>
        <v>400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f>Y110*0.5</f>
        <v>200</v>
      </c>
      <c r="X110" s="7">
        <f>Y110*0.5</f>
        <v>200</v>
      </c>
      <c r="Y110" s="16">
        <f>Y50</f>
        <v>400</v>
      </c>
      <c r="AD110" s="16">
        <f>AD50</f>
        <v>0</v>
      </c>
      <c r="AF110" s="36">
        <f t="shared" si="103"/>
        <v>400</v>
      </c>
    </row>
    <row r="111" spans="1:32" x14ac:dyDescent="0.25">
      <c r="B111" s="16" t="s">
        <v>94</v>
      </c>
      <c r="C111" s="16">
        <f>C77+C78+C79+C80</f>
        <v>200</v>
      </c>
      <c r="D111" s="36">
        <f t="shared" si="102"/>
        <v>200</v>
      </c>
      <c r="H111" s="7">
        <f>K111</f>
        <v>200</v>
      </c>
      <c r="K111" s="16">
        <f>K77+K78+K79+K80</f>
        <v>200</v>
      </c>
    </row>
    <row r="112" spans="1:32" x14ac:dyDescent="0.25">
      <c r="AC112" s="7">
        <f>AC100+AC99</f>
        <v>8125.0000000000009</v>
      </c>
    </row>
    <row r="113" spans="22:29" x14ac:dyDescent="0.25">
      <c r="AC113" s="7">
        <f>AC112/0.8</f>
        <v>10156.25</v>
      </c>
    </row>
    <row r="114" spans="22:29" x14ac:dyDescent="0.25">
      <c r="AC114" s="7">
        <f>AC113*0.27</f>
        <v>2742.1875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CE117"/>
  <sheetViews>
    <sheetView topLeftCell="B4" zoomScaleNormal="100" workbookViewId="0">
      <pane xSplit="4" ySplit="4" topLeftCell="BW25" activePane="bottomRight" state="frozen"/>
      <selection activeCell="B4" sqref="B4"/>
      <selection pane="topRight" activeCell="F4" sqref="F4"/>
      <selection pane="bottomLeft" activeCell="B8" sqref="B8"/>
      <selection pane="bottomRight" activeCell="CA40" sqref="CA40:CE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0.2857142857142857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5990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1333.8</v>
      </c>
      <c r="L10" s="3"/>
      <c r="M10" s="5">
        <f t="shared" ref="M10:O10" si="1">M8*M9</f>
        <v>390</v>
      </c>
      <c r="N10" s="5">
        <f t="shared" si="1"/>
        <v>546</v>
      </c>
      <c r="O10" s="5">
        <f t="shared" si="1"/>
        <v>546</v>
      </c>
      <c r="P10" s="5">
        <f>SUM(M10:O10)</f>
        <v>1482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4694.8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3.5</v>
      </c>
      <c r="G12" s="39">
        <v>3.5</v>
      </c>
      <c r="H12" s="39">
        <v>3.5</v>
      </c>
      <c r="I12" s="39">
        <v>3.5</v>
      </c>
      <c r="J12" s="39">
        <v>3.5</v>
      </c>
      <c r="K12" s="5"/>
      <c r="L12" s="3"/>
      <c r="M12" s="39">
        <v>3.5</v>
      </c>
      <c r="N12" s="39">
        <v>3.5</v>
      </c>
      <c r="O12" s="39">
        <v>3.5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3.5</v>
      </c>
      <c r="W12" s="39">
        <v>3.5</v>
      </c>
      <c r="X12" s="39">
        <v>3.5</v>
      </c>
      <c r="Y12" s="5"/>
      <c r="AA12" s="39">
        <v>0</v>
      </c>
      <c r="AB12" s="39">
        <v>0</v>
      </c>
      <c r="AC12" s="39">
        <v>3.5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25.75</v>
      </c>
      <c r="G15" s="40">
        <f t="shared" ref="G15:J15" si="5">G11-G12-G14-G13</f>
        <v>25.75</v>
      </c>
      <c r="H15" s="40">
        <f t="shared" si="5"/>
        <v>25.75</v>
      </c>
      <c r="I15" s="40">
        <f t="shared" si="5"/>
        <v>25.75</v>
      </c>
      <c r="J15" s="40">
        <f t="shared" si="5"/>
        <v>25.75</v>
      </c>
      <c r="K15" s="1"/>
      <c r="M15" s="40">
        <f>M11-M12-M14-M13</f>
        <v>25.75</v>
      </c>
      <c r="N15" s="40">
        <f t="shared" ref="N15:O15" si="6">N11-N12-N14-N13</f>
        <v>25.75</v>
      </c>
      <c r="O15" s="40">
        <f t="shared" si="6"/>
        <v>25.75</v>
      </c>
      <c r="P15" s="1"/>
      <c r="R15" s="40">
        <f>R11-R12-R14-R13</f>
        <v>28.75</v>
      </c>
      <c r="S15" s="40">
        <f t="shared" ref="S15" si="7">S11-S12-S14-S13</f>
        <v>28.75</v>
      </c>
      <c r="T15" s="40"/>
      <c r="V15" s="40">
        <f t="shared" ref="V15:X15" si="8">V11-V12-V14-V13</f>
        <v>25.75</v>
      </c>
      <c r="W15" s="40">
        <f t="shared" si="8"/>
        <v>25.75</v>
      </c>
      <c r="X15" s="40">
        <f t="shared" si="8"/>
        <v>25.75</v>
      </c>
      <c r="Y15" s="1"/>
      <c r="AA15" s="40">
        <f t="shared" ref="AA15:AC15" si="9">AA11-AA12-AA14-AA13</f>
        <v>28.75</v>
      </c>
      <c r="AB15" s="40">
        <f t="shared" si="9"/>
        <v>28.75</v>
      </c>
      <c r="AC15" s="40">
        <f t="shared" si="9"/>
        <v>26.25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1</v>
      </c>
      <c r="S16" s="21">
        <v>1</v>
      </c>
      <c r="T16" s="21"/>
      <c r="V16" s="21">
        <v>0.95</v>
      </c>
      <c r="W16" s="21">
        <v>0.95</v>
      </c>
      <c r="X16" s="21">
        <v>0.95</v>
      </c>
      <c r="Y16" s="21"/>
      <c r="AA16" s="21">
        <v>1</v>
      </c>
      <c r="AB16" s="21">
        <v>1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3755.8949999999995</v>
      </c>
      <c r="G17" s="1">
        <f t="shared" ref="G17:J17" si="10">G16*G15*G10</f>
        <v>9038.25</v>
      </c>
      <c r="H17" s="1">
        <f t="shared" si="10"/>
        <v>9038.25</v>
      </c>
      <c r="I17" s="1">
        <f t="shared" si="10"/>
        <v>3976.83</v>
      </c>
      <c r="J17" s="1">
        <f t="shared" si="10"/>
        <v>4880.6549999999997</v>
      </c>
      <c r="K17" s="5">
        <f>SUM(F17:J17)</f>
        <v>30689.879999999997</v>
      </c>
      <c r="M17" s="1">
        <f t="shared" ref="M17:O17" si="11">M16*M15*M10</f>
        <v>9038.25</v>
      </c>
      <c r="N17" s="1">
        <f t="shared" si="11"/>
        <v>12653.550000000001</v>
      </c>
      <c r="O17" s="1">
        <f t="shared" si="11"/>
        <v>12653.550000000001</v>
      </c>
      <c r="P17" s="5">
        <f>SUM(M17:O17)</f>
        <v>34345.350000000006</v>
      </c>
      <c r="R17" s="1">
        <f>R16*R15*R10</f>
        <v>6555</v>
      </c>
      <c r="S17" s="1">
        <f t="shared" ref="S17" si="12">S16*S15*S10</f>
        <v>2000.9999999999998</v>
      </c>
      <c r="T17" s="1">
        <f>R17+S17</f>
        <v>8556</v>
      </c>
      <c r="V17" s="1">
        <f>V16*V15*V10</f>
        <v>6869.07</v>
      </c>
      <c r="W17" s="1">
        <f t="shared" ref="W17:X17" si="13">W16*W15*W10</f>
        <v>5151.8024999999998</v>
      </c>
      <c r="X17" s="1">
        <f t="shared" si="13"/>
        <v>5151.8024999999998</v>
      </c>
      <c r="Y17" s="5">
        <f>SUM(V17:X17)</f>
        <v>17172.674999999999</v>
      </c>
      <c r="AA17" s="70">
        <f>AA16*AA15*AA10</f>
        <v>7590</v>
      </c>
      <c r="AB17" s="70">
        <f>AB16*AB15*AB10</f>
        <v>3795</v>
      </c>
      <c r="AC17" s="1">
        <f t="shared" ref="AC17" si="14">AC16*AC15*AC10</f>
        <v>13064.625</v>
      </c>
      <c r="AD17" s="5">
        <f>SUM(Z17:AC17)</f>
        <v>24449.625</v>
      </c>
      <c r="AF17" s="1">
        <f>AD17+Y17+R17+P17+K17</f>
        <v>113212.53</v>
      </c>
      <c r="AI17" s="46"/>
    </row>
    <row r="19" spans="2:83" x14ac:dyDescent="0.25">
      <c r="B19" s="19" t="s">
        <v>18</v>
      </c>
      <c r="C19" s="16">
        <f>C27+C29+C30+C31+C34+C28</f>
        <v>78300</v>
      </c>
      <c r="D19" s="16">
        <f>D27+D29+D30+D31+D34+D28</f>
        <v>78300</v>
      </c>
      <c r="F19" s="1">
        <f>F17</f>
        <v>3755.8949999999995</v>
      </c>
      <c r="G19" s="1">
        <f t="shared" ref="G19:H19" si="15">G17</f>
        <v>9038.25</v>
      </c>
      <c r="H19" s="1">
        <f t="shared" si="15"/>
        <v>9038.25</v>
      </c>
      <c r="I19" s="1"/>
      <c r="J19" s="1"/>
      <c r="K19" s="5">
        <f t="shared" ref="K19:K25" si="16">SUM(F19:J19)</f>
        <v>21832.395</v>
      </c>
      <c r="M19" s="1">
        <f>M17*0.5</f>
        <v>4519.125</v>
      </c>
      <c r="N19" s="1">
        <f>N17*0.8</f>
        <v>10122.840000000002</v>
      </c>
      <c r="O19" s="1">
        <f>O17</f>
        <v>12653.550000000001</v>
      </c>
      <c r="P19" s="5">
        <f t="shared" ref="P19:P25" si="17">SUM(M19:O19)</f>
        <v>27295.515000000003</v>
      </c>
      <c r="R19" s="1"/>
      <c r="S19" s="1"/>
      <c r="T19" s="1">
        <f t="shared" ref="T19:T24" si="18">R19+S19</f>
        <v>0</v>
      </c>
      <c r="V19" s="1">
        <f>V17-V23</f>
        <v>6340.6799999999994</v>
      </c>
      <c r="W19" s="1">
        <f t="shared" ref="W19:X19" si="19">W17-W23</f>
        <v>4755.51</v>
      </c>
      <c r="X19" s="1">
        <f t="shared" si="19"/>
        <v>4755.51</v>
      </c>
      <c r="Y19" s="5">
        <f t="shared" ref="Y19:Y25" si="20">SUM(V19:X19)</f>
        <v>15851.699999999999</v>
      </c>
      <c r="AA19" s="1"/>
      <c r="AB19" s="1"/>
      <c r="AC19" s="1">
        <f>AC17*0.95</f>
        <v>12411.393749999999</v>
      </c>
      <c r="AD19" s="5">
        <f t="shared" ref="AD19:AD25" si="21">SUM(Z19:AC19)</f>
        <v>12411.393749999999</v>
      </c>
      <c r="AF19" s="1">
        <f t="shared" ref="AF19:AF25" si="22">AD19+Y19+R19+P19+K19</f>
        <v>77391.003750000003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2440.3274999999999</v>
      </c>
      <c r="K20" s="5">
        <f t="shared" si="16"/>
        <v>2440.3274999999999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2440.3274999999999</v>
      </c>
    </row>
    <row r="21" spans="2:83" x14ac:dyDescent="0.25">
      <c r="B21" s="19" t="s">
        <v>19</v>
      </c>
      <c r="C21" s="16">
        <f>C33</f>
        <v>2200</v>
      </c>
      <c r="D21" s="16">
        <f>D33</f>
        <v>2200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4519.125</v>
      </c>
      <c r="N21" s="1">
        <f>N17*0.2</f>
        <v>2530.7100000000005</v>
      </c>
      <c r="O21" s="1"/>
      <c r="P21" s="5">
        <f t="shared" si="17"/>
        <v>7049.8350000000009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7049.8350000000009</v>
      </c>
    </row>
    <row r="22" spans="2:83" x14ac:dyDescent="0.25">
      <c r="B22" s="19" t="s">
        <v>20</v>
      </c>
      <c r="C22" s="16">
        <f>C32</f>
        <v>3520</v>
      </c>
      <c r="D22" s="16">
        <f>D32</f>
        <v>3520</v>
      </c>
      <c r="F22" s="1"/>
      <c r="G22" s="1"/>
      <c r="H22" s="1"/>
      <c r="I22" s="1">
        <f>I17</f>
        <v>3976.83</v>
      </c>
      <c r="J22" s="1"/>
      <c r="K22" s="5">
        <f t="shared" si="16"/>
        <v>3976.83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3976.83</v>
      </c>
    </row>
    <row r="23" spans="2:83" x14ac:dyDescent="0.25">
      <c r="B23" s="19" t="s">
        <v>21</v>
      </c>
      <c r="C23" s="16">
        <f>C37+C38+C39</f>
        <v>4072</v>
      </c>
      <c r="D23" s="16">
        <f>D37+D38+D39</f>
        <v>4072</v>
      </c>
      <c r="F23" s="1"/>
      <c r="G23" s="1"/>
      <c r="H23" s="1"/>
      <c r="I23" s="1"/>
      <c r="J23" s="1">
        <f>J17*0.5</f>
        <v>2440.3274999999999</v>
      </c>
      <c r="K23" s="5">
        <f t="shared" si="16"/>
        <v>2440.3274999999999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528.39</v>
      </c>
      <c r="W23" s="1">
        <f t="shared" ref="W23:X23" si="23">(W17/W9)*0.06</f>
        <v>396.2924999999999</v>
      </c>
      <c r="X23" s="1">
        <f t="shared" si="23"/>
        <v>396.2924999999999</v>
      </c>
      <c r="Y23" s="5">
        <f t="shared" si="20"/>
        <v>1320.9749999999999</v>
      </c>
      <c r="AA23" s="1">
        <f>AA17*0.08</f>
        <v>607.20000000000005</v>
      </c>
      <c r="AB23" s="1">
        <f>AB17*0.08</f>
        <v>303.60000000000002</v>
      </c>
      <c r="AC23" s="1">
        <f>AC17*0.05</f>
        <v>653.23125000000005</v>
      </c>
      <c r="AD23" s="5">
        <f t="shared" si="21"/>
        <v>1564.03125</v>
      </c>
      <c r="AF23" s="1">
        <f t="shared" si="22"/>
        <v>5325.3337499999998</v>
      </c>
    </row>
    <row r="24" spans="2:83" x14ac:dyDescent="0.25">
      <c r="B24" s="19" t="s">
        <v>91</v>
      </c>
      <c r="C24" s="16">
        <f>C35</f>
        <v>13454</v>
      </c>
      <c r="D24" s="16">
        <f>D35</f>
        <v>13454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6555</v>
      </c>
      <c r="S24" s="1"/>
      <c r="T24" s="1">
        <f t="shared" si="18"/>
        <v>6555</v>
      </c>
      <c r="V24" s="1"/>
      <c r="W24" s="1"/>
      <c r="X24" s="1"/>
      <c r="Y24" s="5">
        <f t="shared" si="20"/>
        <v>0</v>
      </c>
      <c r="AA24" s="1">
        <f>AA17-AA23</f>
        <v>6982.8</v>
      </c>
      <c r="AB24" s="1"/>
      <c r="AC24" s="1"/>
      <c r="AD24" s="5">
        <f t="shared" si="21"/>
        <v>6982.8</v>
      </c>
      <c r="AF24" s="1">
        <f t="shared" si="22"/>
        <v>13537.8</v>
      </c>
    </row>
    <row r="25" spans="2:83" x14ac:dyDescent="0.25">
      <c r="B25" s="19" t="s">
        <v>126</v>
      </c>
      <c r="C25" s="16">
        <f>C36</f>
        <v>3152</v>
      </c>
      <c r="D25" s="16">
        <f>D36</f>
        <v>3152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2000.9999999999998</v>
      </c>
      <c r="T25" s="1">
        <f>R25+S25</f>
        <v>2000.9999999999998</v>
      </c>
      <c r="V25" s="1"/>
      <c r="W25" s="1"/>
      <c r="X25" s="1"/>
      <c r="Y25" s="5">
        <f t="shared" si="20"/>
        <v>0</v>
      </c>
      <c r="AA25" s="1"/>
      <c r="AB25" s="1">
        <f>AB17-AB23</f>
        <v>3491.4</v>
      </c>
      <c r="AC25" s="1"/>
      <c r="AD25" s="5">
        <f t="shared" si="21"/>
        <v>3491.4</v>
      </c>
      <c r="AF25" s="1">
        <f t="shared" si="22"/>
        <v>3491.4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23000</v>
      </c>
      <c r="D27" s="16">
        <f>D64+D68+D69+D82+D91</f>
        <v>23000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7810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7594.9999999999991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7594.9999999999991</v>
      </c>
      <c r="AH27" s="59" t="str">
        <f>B27</f>
        <v>Mix and Bake</v>
      </c>
      <c r="AI27" s="1">
        <f>K27</f>
        <v>7810</v>
      </c>
      <c r="AJ27" s="1">
        <f>P27</f>
        <v>0</v>
      </c>
      <c r="AK27" s="1">
        <f t="shared" ref="AK27:AK39" si="26">T27</f>
        <v>0</v>
      </c>
      <c r="AL27" s="1">
        <f>Y27</f>
        <v>7594.9999999999991</v>
      </c>
      <c r="AM27" s="1">
        <f>AD27</f>
        <v>7594.9999999999991</v>
      </c>
      <c r="AN27" s="1">
        <f>SUM(AI27:AM27)</f>
        <v>23000</v>
      </c>
      <c r="AP27" s="7">
        <f>AI27/0.78</f>
        <v>10012.820512820512</v>
      </c>
      <c r="AQ27" s="7">
        <f>AJ27/0.78</f>
        <v>0</v>
      </c>
      <c r="AR27" s="7">
        <f>AK27/0.78</f>
        <v>0</v>
      </c>
      <c r="AS27" s="7">
        <f>AL27/0.78</f>
        <v>9737.1794871794864</v>
      </c>
      <c r="AT27" s="7">
        <f>AM27/0.78</f>
        <v>9737.1794871794864</v>
      </c>
      <c r="AU27" s="7">
        <f>SUM(AP27:AT27)</f>
        <v>29487.179487179485</v>
      </c>
      <c r="AW27" s="46">
        <v>0.3</v>
      </c>
      <c r="AX27" s="46">
        <v>0.25</v>
      </c>
      <c r="AY27" s="72"/>
      <c r="AZ27" s="46">
        <v>0.3</v>
      </c>
      <c r="BA27" s="46">
        <v>0.3</v>
      </c>
      <c r="BC27" s="7">
        <f>AW27*AP27</f>
        <v>3003.8461538461534</v>
      </c>
      <c r="BD27" s="7">
        <f>AX27*AQ27</f>
        <v>0</v>
      </c>
      <c r="BE27" s="7">
        <f>AY27*AR27</f>
        <v>0</v>
      </c>
      <c r="BF27" s="7">
        <f>AZ27*AS27</f>
        <v>2921.1538461538457</v>
      </c>
      <c r="BG27" s="7">
        <f>BA27*AT27</f>
        <v>2921.1538461538457</v>
      </c>
      <c r="BI27" s="46">
        <v>0.7</v>
      </c>
      <c r="BJ27" s="46">
        <v>0.75</v>
      </c>
      <c r="BK27" s="72"/>
      <c r="BL27" s="46">
        <v>0.7</v>
      </c>
      <c r="BM27" s="46">
        <v>0.7</v>
      </c>
      <c r="BO27" s="7">
        <f>BI27*AP27</f>
        <v>7008.9743589743575</v>
      </c>
      <c r="BP27" s="7">
        <f>BJ27*AQ27</f>
        <v>0</v>
      </c>
      <c r="BQ27" s="7">
        <f>BK27*AR27</f>
        <v>0</v>
      </c>
      <c r="BR27" s="7">
        <f>BL27*AS27</f>
        <v>6816.0256410256397</v>
      </c>
      <c r="BS27" s="7">
        <f>BM27*AT27</f>
        <v>6816.0256410256397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7700</v>
      </c>
      <c r="D28" s="16">
        <f>D63</f>
        <v>7700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6545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1155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6545</v>
      </c>
      <c r="AM28" s="1">
        <f t="shared" ref="AM28:AM39" si="34">AD28</f>
        <v>1155</v>
      </c>
      <c r="AN28" s="1">
        <f t="shared" ref="AN28:AN39" si="35">SUM(AI28:AM28)</f>
        <v>7700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8391.0256410256407</v>
      </c>
      <c r="AT28" s="7">
        <f t="shared" si="36"/>
        <v>1480.7692307692307</v>
      </c>
      <c r="AU28" s="7">
        <f t="shared" ref="AU28:AU39" si="37">SUM(AP28:AT28)</f>
        <v>9871.7948717948711</v>
      </c>
      <c r="AW28" s="72"/>
      <c r="AX28" s="72"/>
      <c r="AY28" s="72"/>
      <c r="AZ28" s="46">
        <v>0.35</v>
      </c>
      <c r="BA28" s="46">
        <v>0.35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2936.8589743589741</v>
      </c>
      <c r="BG28" s="7">
        <f t="shared" si="38"/>
        <v>518.26923076923072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5454.166666666667</v>
      </c>
      <c r="BS28" s="7">
        <f t="shared" si="39"/>
        <v>962.5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24500</v>
      </c>
      <c r="D29" s="16">
        <f>D53+D92</f>
        <v>24500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23030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1470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23030</v>
      </c>
      <c r="AK29" s="1">
        <f t="shared" si="26"/>
        <v>0</v>
      </c>
      <c r="AL29" s="1">
        <f t="shared" si="33"/>
        <v>1470</v>
      </c>
      <c r="AM29" s="1">
        <f t="shared" si="34"/>
        <v>0</v>
      </c>
      <c r="AN29" s="1">
        <f t="shared" si="35"/>
        <v>24500</v>
      </c>
      <c r="AP29" s="7">
        <f t="shared" si="36"/>
        <v>0</v>
      </c>
      <c r="AQ29" s="7">
        <f t="shared" si="36"/>
        <v>29525.641025641024</v>
      </c>
      <c r="AR29" s="7">
        <f t="shared" si="36"/>
        <v>0</v>
      </c>
      <c r="AS29" s="7">
        <f t="shared" si="36"/>
        <v>1884.6153846153845</v>
      </c>
      <c r="AT29" s="7">
        <f t="shared" si="36"/>
        <v>0</v>
      </c>
      <c r="AU29" s="7">
        <f t="shared" si="37"/>
        <v>31410.256410256407</v>
      </c>
      <c r="AW29" s="46">
        <v>0.6</v>
      </c>
      <c r="AX29" s="46">
        <v>0.6</v>
      </c>
      <c r="AY29" s="72"/>
      <c r="AZ29" s="46">
        <v>0.6</v>
      </c>
      <c r="BA29" s="46">
        <v>0.6</v>
      </c>
      <c r="BC29" s="7">
        <f t="shared" si="38"/>
        <v>0</v>
      </c>
      <c r="BD29" s="7">
        <f t="shared" si="38"/>
        <v>17715.384615384613</v>
      </c>
      <c r="BE29" s="7">
        <f t="shared" si="38"/>
        <v>0</v>
      </c>
      <c r="BF29" s="7">
        <f t="shared" si="38"/>
        <v>1130.7692307692307</v>
      </c>
      <c r="BG29" s="7">
        <f t="shared" si="38"/>
        <v>0</v>
      </c>
      <c r="BI29" s="46">
        <v>0.4</v>
      </c>
      <c r="BJ29" s="46">
        <v>0.4</v>
      </c>
      <c r="BK29" s="72"/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11810.25641025641</v>
      </c>
      <c r="BQ29" s="7">
        <f t="shared" si="39"/>
        <v>0</v>
      </c>
      <c r="BR29" s="7">
        <f t="shared" si="39"/>
        <v>753.84615384615381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8500</v>
      </c>
      <c r="D30" s="16">
        <f>D54</f>
        <v>8500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5950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2550</v>
      </c>
      <c r="AH30" s="59" t="str">
        <f t="shared" si="45"/>
        <v>Bakewell</v>
      </c>
      <c r="AI30" s="1">
        <f t="shared" si="31"/>
        <v>0</v>
      </c>
      <c r="AJ30" s="1">
        <f t="shared" si="32"/>
        <v>5950</v>
      </c>
      <c r="AK30" s="1">
        <f t="shared" si="26"/>
        <v>0</v>
      </c>
      <c r="AL30" s="1">
        <f t="shared" si="33"/>
        <v>0</v>
      </c>
      <c r="AM30" s="1">
        <f t="shared" si="34"/>
        <v>2550</v>
      </c>
      <c r="AN30" s="1">
        <f t="shared" si="35"/>
        <v>8500</v>
      </c>
      <c r="AP30" s="7">
        <f t="shared" si="36"/>
        <v>0</v>
      </c>
      <c r="AQ30" s="7">
        <f t="shared" si="36"/>
        <v>7628.2051282051279</v>
      </c>
      <c r="AR30" s="7">
        <f t="shared" si="36"/>
        <v>0</v>
      </c>
      <c r="AS30" s="7">
        <f t="shared" si="36"/>
        <v>0</v>
      </c>
      <c r="AT30" s="7">
        <f t="shared" si="36"/>
        <v>3269.2307692307691</v>
      </c>
      <c r="AU30" s="7">
        <f t="shared" si="37"/>
        <v>10897.435897435897</v>
      </c>
      <c r="AW30" s="46">
        <v>0.15</v>
      </c>
      <c r="AX30" s="46">
        <v>0.1</v>
      </c>
      <c r="AY30" s="72"/>
      <c r="AZ30" s="46">
        <v>0.15</v>
      </c>
      <c r="BA30" s="46">
        <v>0.15</v>
      </c>
      <c r="BC30" s="7">
        <f t="shared" si="38"/>
        <v>0</v>
      </c>
      <c r="BD30" s="7">
        <f t="shared" si="38"/>
        <v>762.82051282051282</v>
      </c>
      <c r="BE30" s="7">
        <f t="shared" si="38"/>
        <v>0</v>
      </c>
      <c r="BF30" s="7">
        <f t="shared" si="38"/>
        <v>0</v>
      </c>
      <c r="BG30" s="7">
        <f t="shared" si="38"/>
        <v>490.38461538461536</v>
      </c>
      <c r="BI30" s="46">
        <v>0.85</v>
      </c>
      <c r="BJ30" s="46">
        <v>0.9</v>
      </c>
      <c r="BK30" s="72"/>
      <c r="BL30" s="46">
        <v>0.85</v>
      </c>
      <c r="BM30" s="46">
        <v>0.85</v>
      </c>
      <c r="BO30" s="7">
        <f t="shared" si="46"/>
        <v>0</v>
      </c>
      <c r="BP30" s="7">
        <f t="shared" si="39"/>
        <v>6865.3846153846152</v>
      </c>
      <c r="BQ30" s="7">
        <f t="shared" si="39"/>
        <v>0</v>
      </c>
      <c r="BR30" s="7">
        <f t="shared" si="39"/>
        <v>0</v>
      </c>
      <c r="BS30" s="7">
        <f t="shared" si="39"/>
        <v>2778.8461538461538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14100</v>
      </c>
      <c r="D31" s="16">
        <f>D65</f>
        <v>14100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14100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0</v>
      </c>
      <c r="AH31" s="59" t="str">
        <f t="shared" si="45"/>
        <v>Bua Premium</v>
      </c>
      <c r="AI31" s="1">
        <f t="shared" si="31"/>
        <v>14100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0</v>
      </c>
      <c r="AN31" s="1">
        <f t="shared" si="35"/>
        <v>14100</v>
      </c>
      <c r="AP31" s="7">
        <f t="shared" si="36"/>
        <v>18076.923076923078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0</v>
      </c>
      <c r="AU31" s="7">
        <f t="shared" si="37"/>
        <v>18076.923076923078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46"/>
        <v>18076.923076923078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3520</v>
      </c>
      <c r="D32" s="16">
        <f>D46+D67</f>
        <v>3520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3520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3520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3520</v>
      </c>
      <c r="AP32" s="7">
        <f t="shared" si="36"/>
        <v>4512.8205128205127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4512.8205128205127</v>
      </c>
      <c r="AW32" s="46">
        <v>0</v>
      </c>
      <c r="AX32" s="46">
        <v>0</v>
      </c>
      <c r="AY32" s="72"/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72"/>
      <c r="BL32" s="46">
        <v>0.1</v>
      </c>
      <c r="BM32" s="46">
        <v>0.1</v>
      </c>
      <c r="BO32" s="7">
        <f t="shared" si="46"/>
        <v>451.28205128205127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4061.5384615384614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2200</v>
      </c>
      <c r="D33" s="16">
        <f>D47+D70</f>
        <v>2200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1980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220</v>
      </c>
      <c r="AH33" s="59" t="str">
        <f t="shared" si="45"/>
        <v>Noodles Flour</v>
      </c>
      <c r="AI33" s="1">
        <f t="shared" si="31"/>
        <v>0</v>
      </c>
      <c r="AJ33" s="1">
        <f t="shared" si="32"/>
        <v>1980</v>
      </c>
      <c r="AK33" s="1">
        <f t="shared" si="26"/>
        <v>0</v>
      </c>
      <c r="AL33" s="1">
        <f t="shared" si="33"/>
        <v>0</v>
      </c>
      <c r="AM33" s="1">
        <f t="shared" si="34"/>
        <v>220</v>
      </c>
      <c r="AN33" s="1">
        <f t="shared" si="35"/>
        <v>2200</v>
      </c>
      <c r="AP33" s="7">
        <f t="shared" si="36"/>
        <v>0</v>
      </c>
      <c r="AQ33" s="7">
        <f t="shared" si="36"/>
        <v>2538.4615384615386</v>
      </c>
      <c r="AR33" s="7">
        <f t="shared" si="36"/>
        <v>0</v>
      </c>
      <c r="AS33" s="7">
        <f t="shared" si="36"/>
        <v>0</v>
      </c>
      <c r="AT33" s="7">
        <f t="shared" si="36"/>
        <v>282.05128205128204</v>
      </c>
      <c r="AU33" s="7">
        <f t="shared" si="37"/>
        <v>2820.5128205128208</v>
      </c>
      <c r="AW33" s="46">
        <v>0.25</v>
      </c>
      <c r="AX33" s="46">
        <v>0.25</v>
      </c>
      <c r="AY33" s="72"/>
      <c r="AZ33" s="46">
        <v>0.25</v>
      </c>
      <c r="BA33" s="46">
        <v>0.25</v>
      </c>
      <c r="BC33" s="7">
        <f t="shared" si="38"/>
        <v>0</v>
      </c>
      <c r="BD33" s="7">
        <f t="shared" si="38"/>
        <v>634.61538461538464</v>
      </c>
      <c r="BE33" s="7">
        <f t="shared" si="38"/>
        <v>0</v>
      </c>
      <c r="BF33" s="7">
        <f t="shared" si="38"/>
        <v>0</v>
      </c>
      <c r="BG33" s="7">
        <f t="shared" si="38"/>
        <v>70.512820512820511</v>
      </c>
      <c r="BI33" s="46">
        <v>0.75</v>
      </c>
      <c r="BJ33" s="46">
        <v>0.75</v>
      </c>
      <c r="BK33" s="72"/>
      <c r="BL33" s="46">
        <v>0.75</v>
      </c>
      <c r="BM33" s="46">
        <v>0.75</v>
      </c>
      <c r="BO33" s="7">
        <f t="shared" si="46"/>
        <v>0</v>
      </c>
      <c r="BP33" s="7">
        <f t="shared" si="39"/>
        <v>1903.8461538461538</v>
      </c>
      <c r="BQ33" s="7">
        <f t="shared" si="39"/>
        <v>0</v>
      </c>
      <c r="BR33" s="7">
        <f t="shared" si="39"/>
        <v>0</v>
      </c>
      <c r="BS33" s="7">
        <f t="shared" si="39"/>
        <v>211.53846153846155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0.35</v>
      </c>
      <c r="AX34" s="46">
        <v>0.35</v>
      </c>
      <c r="AY34" s="72"/>
      <c r="AZ34" s="46">
        <v>0.35</v>
      </c>
      <c r="BA34" s="46">
        <v>0.35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224.35897435897434</v>
      </c>
      <c r="BG34" s="7">
        <f t="shared" si="38"/>
        <v>0</v>
      </c>
      <c r="BI34" s="46">
        <v>0.65</v>
      </c>
      <c r="BJ34" s="46">
        <v>0.65</v>
      </c>
      <c r="BK34" s="72"/>
      <c r="BL34" s="46">
        <v>0.65</v>
      </c>
      <c r="BM34" s="46">
        <v>0.65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416.66666666666669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13454</v>
      </c>
      <c r="D35" s="16">
        <f>D48+D66+D75+D76</f>
        <v>13454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6457.920000000001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6996.079999999999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6457.920000000001</v>
      </c>
      <c r="AL35" s="1">
        <f t="shared" si="33"/>
        <v>0</v>
      </c>
      <c r="AM35" s="1">
        <f t="shared" si="34"/>
        <v>6996.079999999999</v>
      </c>
      <c r="AN35" s="1">
        <f t="shared" si="35"/>
        <v>13454</v>
      </c>
      <c r="AP35" s="7">
        <f t="shared" si="36"/>
        <v>0</v>
      </c>
      <c r="AQ35" s="7">
        <f t="shared" si="36"/>
        <v>0</v>
      </c>
      <c r="AR35" s="7">
        <f t="shared" si="36"/>
        <v>8279.3846153846171</v>
      </c>
      <c r="AS35" s="7">
        <f t="shared" si="36"/>
        <v>0</v>
      </c>
      <c r="AT35" s="7">
        <f t="shared" si="36"/>
        <v>8969.3333333333321</v>
      </c>
      <c r="AU35" s="7">
        <f t="shared" si="37"/>
        <v>17248.717948717949</v>
      </c>
      <c r="AW35" s="72"/>
      <c r="AX35" s="72"/>
      <c r="AY35" s="46">
        <v>0</v>
      </c>
      <c r="AZ35" s="72"/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72"/>
      <c r="BJ35" s="72"/>
      <c r="BK35" s="46">
        <v>1</v>
      </c>
      <c r="BL35" s="72"/>
      <c r="BM35" s="75">
        <v>1</v>
      </c>
      <c r="BO35" s="7">
        <f t="shared" si="46"/>
        <v>0</v>
      </c>
      <c r="BP35" s="7">
        <f t="shared" si="39"/>
        <v>0</v>
      </c>
      <c r="BQ35" s="7">
        <f t="shared" si="39"/>
        <v>8279.3846153846171</v>
      </c>
      <c r="BR35" s="7">
        <f t="shared" si="39"/>
        <v>0</v>
      </c>
      <c r="BS35" s="7">
        <f t="shared" si="39"/>
        <v>8969.3333333333321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3152</v>
      </c>
      <c r="D36" s="16">
        <f>D49+D51+D52+D83+D88+D84+D85+D86+D87</f>
        <v>3152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1652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1500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1652</v>
      </c>
      <c r="AL36" s="1">
        <f t="shared" si="33"/>
        <v>0</v>
      </c>
      <c r="AM36" s="1">
        <f t="shared" si="34"/>
        <v>1500</v>
      </c>
      <c r="AN36" s="1">
        <f t="shared" si="35"/>
        <v>3152</v>
      </c>
      <c r="AP36" s="7">
        <f t="shared" si="36"/>
        <v>0</v>
      </c>
      <c r="AQ36" s="7">
        <f t="shared" si="36"/>
        <v>0</v>
      </c>
      <c r="AR36" s="7">
        <f t="shared" si="36"/>
        <v>2117.9487179487178</v>
      </c>
      <c r="AS36" s="7">
        <f t="shared" si="36"/>
        <v>0</v>
      </c>
      <c r="AT36" s="7">
        <f t="shared" si="36"/>
        <v>1923.0769230769231</v>
      </c>
      <c r="AU36" s="7">
        <f t="shared" si="37"/>
        <v>4041.0256410256407</v>
      </c>
      <c r="AW36" s="72"/>
      <c r="AX36" s="72"/>
      <c r="AY36" s="46">
        <v>0</v>
      </c>
      <c r="AZ36" s="72"/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72"/>
      <c r="BJ36" s="72"/>
      <c r="BK36" s="46">
        <v>1</v>
      </c>
      <c r="BL36" s="72"/>
      <c r="BM36" s="75">
        <v>1</v>
      </c>
      <c r="BO36" s="7">
        <f t="shared" si="46"/>
        <v>0</v>
      </c>
      <c r="BP36" s="7">
        <f t="shared" si="39"/>
        <v>0</v>
      </c>
      <c r="BQ36" s="7">
        <f t="shared" si="39"/>
        <v>2117.9487179487178</v>
      </c>
      <c r="BR36" s="7">
        <f t="shared" si="39"/>
        <v>0</v>
      </c>
      <c r="BS36" s="7">
        <f t="shared" si="39"/>
        <v>1923.0769230769231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2515</v>
      </c>
      <c r="D37" s="16">
        <f>D71+D72+D73+D74</f>
        <v>2515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741.56625000000008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858.63374999999985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914.8</v>
      </c>
      <c r="AH37" s="59" t="str">
        <f t="shared" si="45"/>
        <v>Supreme Semolina</v>
      </c>
      <c r="AI37" s="1">
        <f t="shared" si="31"/>
        <v>741.56625000000008</v>
      </c>
      <c r="AJ37" s="1">
        <f t="shared" si="32"/>
        <v>0</v>
      </c>
      <c r="AK37" s="1">
        <f t="shared" si="26"/>
        <v>0</v>
      </c>
      <c r="AL37" s="1">
        <f t="shared" si="33"/>
        <v>858.63374999999985</v>
      </c>
      <c r="AM37" s="1">
        <f t="shared" si="34"/>
        <v>914.8</v>
      </c>
      <c r="AN37" s="1">
        <f t="shared" si="35"/>
        <v>2515</v>
      </c>
      <c r="AP37" s="7">
        <f t="shared" si="36"/>
        <v>950.72596153846166</v>
      </c>
      <c r="AQ37" s="7">
        <f t="shared" si="36"/>
        <v>0</v>
      </c>
      <c r="AR37" s="7">
        <f t="shared" si="36"/>
        <v>0</v>
      </c>
      <c r="AS37" s="7">
        <f t="shared" si="36"/>
        <v>1100.8124999999998</v>
      </c>
      <c r="AT37" s="7">
        <f t="shared" si="36"/>
        <v>1172.8205128205127</v>
      </c>
      <c r="AU37" s="7">
        <f t="shared" si="37"/>
        <v>3224.3589743589741</v>
      </c>
      <c r="AW37" s="46">
        <v>0.45</v>
      </c>
      <c r="AX37" s="46">
        <v>0.3</v>
      </c>
      <c r="AY37" s="72"/>
      <c r="AZ37" s="75">
        <v>0.35</v>
      </c>
      <c r="BA37" s="75">
        <v>0.3</v>
      </c>
      <c r="BC37" s="7">
        <f t="shared" si="38"/>
        <v>427.82668269230777</v>
      </c>
      <c r="BD37" s="7">
        <f t="shared" si="38"/>
        <v>0</v>
      </c>
      <c r="BE37" s="7">
        <f t="shared" si="38"/>
        <v>0</v>
      </c>
      <c r="BF37" s="7">
        <f t="shared" si="38"/>
        <v>385.2843749999999</v>
      </c>
      <c r="BG37" s="7">
        <f t="shared" si="38"/>
        <v>351.84615384615381</v>
      </c>
      <c r="BI37" s="46">
        <v>0.55000000000000004</v>
      </c>
      <c r="BJ37" s="46">
        <v>0.7</v>
      </c>
      <c r="BK37" s="72"/>
      <c r="BL37" s="46">
        <v>0.65</v>
      </c>
      <c r="BM37" s="46">
        <v>0.7</v>
      </c>
      <c r="BO37" s="7">
        <f t="shared" si="46"/>
        <v>522.89927884615395</v>
      </c>
      <c r="BP37" s="7">
        <f t="shared" si="39"/>
        <v>0</v>
      </c>
      <c r="BQ37" s="7">
        <f t="shared" si="39"/>
        <v>0</v>
      </c>
      <c r="BR37" s="7">
        <f t="shared" si="39"/>
        <v>715.52812499999993</v>
      </c>
      <c r="BS37" s="7">
        <f t="shared" si="39"/>
        <v>820.97435897435889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1197</v>
      </c>
      <c r="D38" s="16">
        <f>D55+D56+D57+D58+D89+D90</f>
        <v>1197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1197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1197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1197</v>
      </c>
      <c r="AP38" s="7">
        <f t="shared" si="36"/>
        <v>1534.6153846153845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1534.6153846153845</v>
      </c>
      <c r="AW38" s="46">
        <v>0.45</v>
      </c>
      <c r="AX38" s="72"/>
      <c r="AY38" s="72"/>
      <c r="AZ38" s="72"/>
      <c r="BA38" s="72"/>
      <c r="BC38" s="7">
        <f t="shared" si="38"/>
        <v>690.57692307692309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0.55000000000000004</v>
      </c>
      <c r="BJ38" s="72"/>
      <c r="BK38" s="72"/>
      <c r="BL38" s="72"/>
      <c r="BM38" s="72"/>
      <c r="BO38" s="7">
        <f t="shared" si="46"/>
        <v>844.03846153846155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360</v>
      </c>
      <c r="D39" s="16">
        <f>D77+D78+D79+D80</f>
        <v>360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360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360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360</v>
      </c>
      <c r="AP39" s="7">
        <f t="shared" si="36"/>
        <v>461.53846153846155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461.53846153846155</v>
      </c>
      <c r="AW39" s="46">
        <v>0.3</v>
      </c>
      <c r="AX39" s="46">
        <v>0.25</v>
      </c>
      <c r="AY39" s="72"/>
      <c r="AZ39" s="46">
        <v>0.3</v>
      </c>
      <c r="BA39" s="46">
        <v>0.3</v>
      </c>
      <c r="BC39" s="7">
        <f t="shared" si="38"/>
        <v>138.46153846153845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</v>
      </c>
      <c r="BJ39" s="46">
        <v>0.75</v>
      </c>
      <c r="BK39" s="72"/>
      <c r="BL39" s="46">
        <v>0.7</v>
      </c>
      <c r="BM39" s="46">
        <v>0.7</v>
      </c>
      <c r="BO39" s="7">
        <f t="shared" si="46"/>
        <v>323.07692307692304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104698</v>
      </c>
      <c r="D40" s="33">
        <f>SUM(D27:D39)</f>
        <v>104698</v>
      </c>
      <c r="E40" s="8"/>
      <c r="F40" s="47">
        <f>SUM(F95:F110)/F17</f>
        <v>0.9385246392670723</v>
      </c>
      <c r="G40" s="47">
        <f>SUM(G95:G110)/G17</f>
        <v>1.0140237324703345</v>
      </c>
      <c r="H40" s="47">
        <f>SUM(H95:H110)/H17</f>
        <v>0.94266036013608834</v>
      </c>
      <c r="I40" s="47">
        <f>SUM(I95:I110)/I17</f>
        <v>0.88512709871933171</v>
      </c>
      <c r="J40" s="47">
        <f>(J96+J104)/J23</f>
        <v>0.79438774098968279</v>
      </c>
      <c r="K40" s="47">
        <f>K93/K17</f>
        <v>0.90350846109531879</v>
      </c>
      <c r="L40" s="8"/>
      <c r="M40" s="47">
        <f>SUM(M95:M110)/M17</f>
        <v>0.8773822366055376</v>
      </c>
      <c r="N40" s="47">
        <f>SUM(N95:N110)/N17</f>
        <v>0.9100212983708128</v>
      </c>
      <c r="O40" s="47">
        <f>SUM(O95:O110)/O17</f>
        <v>0.9100212983708128</v>
      </c>
      <c r="P40" s="48">
        <f>P93/P17</f>
        <v>0.90143207159047711</v>
      </c>
      <c r="Q40" s="8"/>
      <c r="R40" s="47">
        <f>SUM(R95:R110)/R17</f>
        <v>0.98518993135011457</v>
      </c>
      <c r="S40" s="47">
        <f t="shared" ref="S40:T40" si="85">SUM(S95:S110)/S17</f>
        <v>0.82558720639680172</v>
      </c>
      <c r="T40" s="47">
        <f t="shared" si="85"/>
        <v>0.94786348761103334</v>
      </c>
      <c r="U40" s="8"/>
      <c r="V40" s="47">
        <f>SUM(V95:V110)/V17</f>
        <v>0.98293127745095044</v>
      </c>
      <c r="W40" s="47">
        <f>SUM(W95:W110)/W17</f>
        <v>0.99157624928362453</v>
      </c>
      <c r="X40" s="47">
        <f>SUM(X95:X110)/X17</f>
        <v>0.99157624928362453</v>
      </c>
      <c r="Y40" s="47">
        <f>Y93/Y17</f>
        <v>0.98811826055055496</v>
      </c>
      <c r="Z40" s="8"/>
      <c r="AA40" s="47">
        <f>SUM(AA95:AA110)/AA17</f>
        <v>0.9820131752305663</v>
      </c>
      <c r="AB40" s="47">
        <f>SUM(AB95:AB110)/AB17</f>
        <v>0.45552042160737816</v>
      </c>
      <c r="AC40" s="47">
        <f>SUM(AC95:AC110)/AC17</f>
        <v>0.89927571591224387</v>
      </c>
      <c r="AD40" s="47">
        <f>AD93/AD17</f>
        <v>0.85608184174603896</v>
      </c>
      <c r="AE40" s="8"/>
      <c r="AF40" s="8"/>
      <c r="AG40" s="54"/>
      <c r="AH40" s="61"/>
      <c r="AI40" s="59">
        <f>SUM(AI27:AI39)</f>
        <v>27728.56625</v>
      </c>
      <c r="AJ40" s="59">
        <f t="shared" ref="AJ40:AN40" si="86">SUM(AJ27:AJ39)</f>
        <v>30960</v>
      </c>
      <c r="AK40" s="59">
        <f t="shared" si="86"/>
        <v>8109.920000000001</v>
      </c>
      <c r="AL40" s="59">
        <f t="shared" si="86"/>
        <v>16968.633750000001</v>
      </c>
      <c r="AM40" s="59">
        <f t="shared" si="86"/>
        <v>20930.879999999997</v>
      </c>
      <c r="AN40" s="59">
        <f t="shared" si="86"/>
        <v>104698</v>
      </c>
      <c r="AO40" s="57"/>
      <c r="AP40" s="57">
        <f t="shared" si="36"/>
        <v>35549.443910256407</v>
      </c>
      <c r="AQ40" s="57">
        <f t="shared" si="36"/>
        <v>39692.307692307688</v>
      </c>
      <c r="AR40" s="57">
        <f t="shared" si="36"/>
        <v>10397.333333333334</v>
      </c>
      <c r="AS40" s="57">
        <f t="shared" si="36"/>
        <v>21754.658653846152</v>
      </c>
      <c r="AT40" s="57">
        <f t="shared" si="36"/>
        <v>26834.461538461535</v>
      </c>
      <c r="AU40" s="57">
        <f t="shared" si="36"/>
        <v>134228.20512820513</v>
      </c>
      <c r="AV40" s="57"/>
      <c r="AW40" s="57"/>
      <c r="AX40" s="57"/>
      <c r="AY40" s="57"/>
      <c r="AZ40" s="57"/>
      <c r="BA40" s="57"/>
      <c r="BB40" s="57"/>
      <c r="BC40" s="57">
        <f>SUM(BC27:BC39)</f>
        <v>4260.7112980769225</v>
      </c>
      <c r="BD40" s="57">
        <f t="shared" ref="BD40:BG40" si="87">SUM(BD27:BD39)</f>
        <v>19112.820512820508</v>
      </c>
      <c r="BE40" s="57">
        <f t="shared" si="87"/>
        <v>0</v>
      </c>
      <c r="BF40" s="57">
        <f t="shared" si="87"/>
        <v>7598.4254006410256</v>
      </c>
      <c r="BG40" s="57">
        <f t="shared" si="87"/>
        <v>4352.1666666666661</v>
      </c>
      <c r="BH40" s="57"/>
      <c r="BI40" s="57"/>
      <c r="BJ40" s="57"/>
      <c r="BK40" s="57"/>
      <c r="BL40" s="57"/>
      <c r="BM40" s="57"/>
      <c r="BN40" s="57"/>
      <c r="BO40" s="57">
        <f>SUM(BO27:BO39)</f>
        <v>27227.194150641026</v>
      </c>
      <c r="BP40" s="57">
        <f t="shared" ref="BP40:BS40" si="88">SUM(BP27:BP39)</f>
        <v>20579.487179487176</v>
      </c>
      <c r="BQ40" s="57">
        <f t="shared" si="88"/>
        <v>10397.333333333336</v>
      </c>
      <c r="BR40" s="57">
        <f t="shared" si="88"/>
        <v>14156.233253205128</v>
      </c>
      <c r="BS40" s="57">
        <f t="shared" si="88"/>
        <v>22482.294871794868</v>
      </c>
      <c r="BT40" s="57"/>
      <c r="BU40" s="57"/>
      <c r="BV40" s="57"/>
      <c r="BW40" s="57"/>
      <c r="BX40" s="57"/>
      <c r="BY40" s="57"/>
      <c r="BZ40" s="57"/>
      <c r="CA40" s="57">
        <f>SUM(CA27:CA39)</f>
        <v>4061.5384615384614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23373.531810897432</v>
      </c>
      <c r="BD41" s="84"/>
      <c r="BE41" s="84"/>
      <c r="BF41" s="7">
        <f>BF40</f>
        <v>7598.4254006410256</v>
      </c>
      <c r="BG41" s="7">
        <f>BG40</f>
        <v>4352.1666666666661</v>
      </c>
      <c r="BO41" s="84">
        <f>SUM(BO40:BQ40)</f>
        <v>58204.014663461538</v>
      </c>
      <c r="BP41" s="84"/>
      <c r="BQ41" s="84"/>
      <c r="BR41" s="7">
        <f>BR40</f>
        <v>14156.233253205128</v>
      </c>
      <c r="BS41" s="7">
        <f>BS40</f>
        <v>22482.294871794868</v>
      </c>
      <c r="CA41" s="84">
        <f>SUM(CA40:CC40)</f>
        <v>4061.5384615384614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102944</v>
      </c>
      <c r="BC42" s="71">
        <f>BC41/4.33</f>
        <v>5398.044298128737</v>
      </c>
      <c r="BD42" s="71"/>
      <c r="BE42" s="71"/>
      <c r="BF42" s="7">
        <f>BF41/4.33</f>
        <v>1754.8326560371884</v>
      </c>
      <c r="BG42" s="7">
        <f>BG41/4.33</f>
        <v>1005.119322555812</v>
      </c>
      <c r="BO42" s="71">
        <f>BO41/4.33</f>
        <v>13442.035719044236</v>
      </c>
      <c r="BP42" s="71"/>
      <c r="BQ42" s="71"/>
      <c r="BR42" s="7">
        <f>BR41/4.33</f>
        <v>3269.3379337656183</v>
      </c>
      <c r="BS42" s="7">
        <f>BS41/4.33</f>
        <v>5192.215905726297</v>
      </c>
      <c r="CA42" s="71">
        <f>CA41/4.33</f>
        <v>937.99964469710426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1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310</v>
      </c>
      <c r="D48" s="36">
        <f t="shared" si="90"/>
        <v>310</v>
      </c>
      <c r="K48" s="7">
        <f t="shared" si="94"/>
        <v>0</v>
      </c>
      <c r="P48" s="7">
        <f t="shared" si="91"/>
        <v>0</v>
      </c>
      <c r="T48" s="43">
        <f>T66*2.5%</f>
        <v>148.80000000000001</v>
      </c>
      <c r="Y48" s="7">
        <f t="shared" si="92"/>
        <v>0</v>
      </c>
      <c r="AD48" s="43">
        <f>AD66*2.5%</f>
        <v>161.20000000000002</v>
      </c>
    </row>
    <row r="49" spans="1:30" x14ac:dyDescent="0.25">
      <c r="A49" s="26"/>
      <c r="B49" s="29" t="s">
        <v>85</v>
      </c>
      <c r="C49" s="36">
        <v>150</v>
      </c>
      <c r="D49" s="36">
        <f t="shared" si="90"/>
        <v>150</v>
      </c>
      <c r="K49" s="7">
        <f t="shared" si="94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0"/>
        <v>500</v>
      </c>
      <c r="K50" s="7">
        <f t="shared" si="94"/>
        <v>0</v>
      </c>
      <c r="P50" s="7">
        <f t="shared" si="91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1500</v>
      </c>
      <c r="D51" s="36">
        <f t="shared" si="90"/>
        <v>1500</v>
      </c>
      <c r="K51" s="7">
        <f t="shared" si="94"/>
        <v>0</v>
      </c>
      <c r="P51" s="7">
        <f t="shared" si="91"/>
        <v>0</v>
      </c>
      <c r="Y51" s="7">
        <f t="shared" si="92"/>
        <v>0</v>
      </c>
      <c r="AD51" s="7">
        <f>C51</f>
        <v>1500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0"/>
        <v>150</v>
      </c>
      <c r="K52" s="7">
        <f t="shared" si="94"/>
        <v>0</v>
      </c>
      <c r="P52" s="7">
        <f t="shared" si="91"/>
        <v>0</v>
      </c>
      <c r="T52" s="7">
        <f>C52</f>
        <v>150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24500</v>
      </c>
      <c r="D53" s="36">
        <f t="shared" si="90"/>
        <v>24500</v>
      </c>
      <c r="K53" s="7">
        <v>0</v>
      </c>
      <c r="P53" s="7">
        <f>C53*0.94</f>
        <v>23030</v>
      </c>
      <c r="Y53" s="7">
        <f>C53*0.06</f>
        <v>1470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8500</v>
      </c>
      <c r="D54" s="36">
        <f t="shared" si="90"/>
        <v>8500</v>
      </c>
      <c r="F54" s="37"/>
      <c r="G54" s="37"/>
      <c r="H54" s="37"/>
      <c r="I54" s="37"/>
      <c r="J54" s="37"/>
      <c r="K54" s="7">
        <v>0</v>
      </c>
      <c r="P54" s="7">
        <f>C54*0.7</f>
        <v>5950</v>
      </c>
      <c r="Y54" s="7">
        <v>0</v>
      </c>
      <c r="AD54" s="7">
        <f>C54*0.3</f>
        <v>2550</v>
      </c>
    </row>
    <row r="55" spans="1:30" x14ac:dyDescent="0.25">
      <c r="A55" s="26">
        <v>100000006028</v>
      </c>
      <c r="B55" s="27" t="s">
        <v>32</v>
      </c>
      <c r="C55" s="45"/>
      <c r="D55" s="36">
        <f t="shared" si="90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/>
      <c r="D56" s="36">
        <f t="shared" si="90"/>
        <v>0</v>
      </c>
      <c r="F56" s="38"/>
      <c r="G56" s="38"/>
      <c r="H56" s="38"/>
      <c r="I56" s="38"/>
      <c r="J56" s="38"/>
      <c r="K56" s="7">
        <f t="shared" ref="K56:K58" si="95">C56</f>
        <v>0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70</v>
      </c>
      <c r="D57" s="36">
        <f t="shared" si="90"/>
        <v>70</v>
      </c>
      <c r="F57" s="38"/>
      <c r="G57" s="38"/>
      <c r="H57" s="38"/>
      <c r="I57" s="38"/>
      <c r="J57" s="38"/>
      <c r="K57" s="7">
        <f t="shared" si="95"/>
        <v>70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220</v>
      </c>
      <c r="D58" s="36">
        <f t="shared" si="90"/>
        <v>220</v>
      </c>
      <c r="F58" s="38"/>
      <c r="G58" s="38"/>
      <c r="H58" s="38"/>
      <c r="I58" s="38"/>
      <c r="J58" s="38"/>
      <c r="K58" s="7">
        <f t="shared" si="95"/>
        <v>220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7700</v>
      </c>
      <c r="D63" s="36">
        <f t="shared" si="90"/>
        <v>7700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6545</v>
      </c>
      <c r="AD63" s="7">
        <f>C63*0.15</f>
        <v>1155</v>
      </c>
    </row>
    <row r="64" spans="1:30" x14ac:dyDescent="0.25">
      <c r="A64" s="26">
        <v>100000002986</v>
      </c>
      <c r="B64" s="27" t="s">
        <v>41</v>
      </c>
      <c r="C64" s="45">
        <v>21700</v>
      </c>
      <c r="D64" s="36">
        <f t="shared" si="90"/>
        <v>21700</v>
      </c>
      <c r="K64" s="7">
        <f>C64*0.3</f>
        <v>6510</v>
      </c>
      <c r="P64" s="7">
        <v>0</v>
      </c>
      <c r="Y64" s="7">
        <f>C64*0.35</f>
        <v>7594.9999999999991</v>
      </c>
      <c r="AD64" s="7">
        <f>C64*0.35</f>
        <v>7594.9999999999991</v>
      </c>
    </row>
    <row r="65" spans="1:32" x14ac:dyDescent="0.25">
      <c r="A65" s="26">
        <v>100000017891</v>
      </c>
      <c r="B65" s="51" t="s">
        <v>101</v>
      </c>
      <c r="C65" s="45">
        <v>14100</v>
      </c>
      <c r="D65" s="36">
        <f t="shared" si="90"/>
        <v>14100</v>
      </c>
      <c r="K65" s="7">
        <f>C65</f>
        <v>14100</v>
      </c>
      <c r="Y65" s="7">
        <v>0</v>
      </c>
    </row>
    <row r="66" spans="1:32" x14ac:dyDescent="0.25">
      <c r="A66" s="26">
        <v>100000018687</v>
      </c>
      <c r="B66" s="51" t="s">
        <v>102</v>
      </c>
      <c r="C66" s="43">
        <v>12400</v>
      </c>
      <c r="D66" s="36">
        <f t="shared" si="90"/>
        <v>12400</v>
      </c>
      <c r="K66" s="7">
        <f t="shared" si="94"/>
        <v>0</v>
      </c>
      <c r="P66" s="7">
        <f t="shared" si="91"/>
        <v>0</v>
      </c>
      <c r="T66" s="7">
        <f>C66*0.48</f>
        <v>5952</v>
      </c>
      <c r="Y66" s="7">
        <f t="shared" si="92"/>
        <v>0</v>
      </c>
      <c r="AD66" s="7">
        <f>C66*0.52</f>
        <v>6448</v>
      </c>
      <c r="AF66" s="7">
        <f>AD66*4.6%</f>
        <v>296.608</v>
      </c>
    </row>
    <row r="67" spans="1:32" x14ac:dyDescent="0.25">
      <c r="A67" s="26">
        <v>100000006037</v>
      </c>
      <c r="B67" s="27" t="s">
        <v>43</v>
      </c>
      <c r="C67" s="43">
        <v>3400</v>
      </c>
      <c r="D67" s="36">
        <f t="shared" si="90"/>
        <v>3400</v>
      </c>
      <c r="K67" s="7">
        <f>C67</f>
        <v>3400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>
        <v>0</v>
      </c>
      <c r="D68" s="36">
        <f t="shared" si="90"/>
        <v>0</v>
      </c>
      <c r="K68" s="7">
        <f t="shared" ref="K68:K69" si="96">C68</f>
        <v>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>
        <v>0</v>
      </c>
      <c r="D69" s="36">
        <f t="shared" si="90"/>
        <v>0</v>
      </c>
      <c r="K69" s="7">
        <f t="shared" si="96"/>
        <v>0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2200</v>
      </c>
      <c r="D70" s="36">
        <f t="shared" si="90"/>
        <v>2200</v>
      </c>
      <c r="K70" s="7">
        <f t="shared" si="94"/>
        <v>0</v>
      </c>
      <c r="P70" s="7">
        <f>C70*0.9</f>
        <v>1980</v>
      </c>
      <c r="Y70" s="7">
        <f t="shared" si="92"/>
        <v>0</v>
      </c>
      <c r="AD70" s="7">
        <f>C70*0.1</f>
        <v>220</v>
      </c>
    </row>
    <row r="71" spans="1:32" x14ac:dyDescent="0.25">
      <c r="A71" s="26">
        <v>100000002976</v>
      </c>
      <c r="B71" s="27" t="s">
        <v>48</v>
      </c>
      <c r="C71" s="45">
        <v>1950</v>
      </c>
      <c r="D71" s="36">
        <f t="shared" si="90"/>
        <v>1950</v>
      </c>
      <c r="K71" s="7">
        <f>C71-Y71-AD71</f>
        <v>534.61102500000015</v>
      </c>
      <c r="P71" s="7">
        <f t="shared" ref="P71:P74" si="97">SUM(M71:O71)</f>
        <v>0</v>
      </c>
      <c r="Y71" s="7">
        <f>0.05*Y17*0.74</f>
        <v>635.38897499999996</v>
      </c>
      <c r="AD71" s="7">
        <f>C71*0.4</f>
        <v>780</v>
      </c>
    </row>
    <row r="72" spans="1:32" x14ac:dyDescent="0.25">
      <c r="A72" s="26">
        <v>100000002977</v>
      </c>
      <c r="B72" s="27" t="s">
        <v>49</v>
      </c>
      <c r="C72" s="45">
        <v>337</v>
      </c>
      <c r="D72" s="36">
        <f t="shared" si="90"/>
        <v>337</v>
      </c>
      <c r="K72" s="7">
        <f t="shared" ref="K72:K74" si="98">C72-Y72-AD72</f>
        <v>90.577612499999987</v>
      </c>
      <c r="P72" s="7">
        <f t="shared" si="97"/>
        <v>0</v>
      </c>
      <c r="Y72" s="7">
        <f>0.05*Y17*0.13</f>
        <v>111.6223875</v>
      </c>
      <c r="AD72" s="7">
        <f>C72*0.4</f>
        <v>134.80000000000001</v>
      </c>
    </row>
    <row r="73" spans="1:32" x14ac:dyDescent="0.25">
      <c r="A73" s="26">
        <v>100000002978</v>
      </c>
      <c r="B73" s="27" t="s">
        <v>50</v>
      </c>
      <c r="C73" s="45">
        <v>120</v>
      </c>
      <c r="D73" s="36">
        <f t="shared" si="90"/>
        <v>120</v>
      </c>
      <c r="K73" s="7">
        <f t="shared" si="98"/>
        <v>51.309300000000007</v>
      </c>
      <c r="P73" s="7">
        <f t="shared" si="97"/>
        <v>0</v>
      </c>
      <c r="Y73" s="7">
        <f>0.05*Y17*0.08</f>
        <v>68.690699999999993</v>
      </c>
    </row>
    <row r="74" spans="1:32" x14ac:dyDescent="0.25">
      <c r="A74" s="26">
        <v>100000015941</v>
      </c>
      <c r="B74" s="27" t="s">
        <v>51</v>
      </c>
      <c r="C74" s="45">
        <v>108</v>
      </c>
      <c r="D74" s="36">
        <f t="shared" si="90"/>
        <v>108</v>
      </c>
      <c r="K74" s="7">
        <f t="shared" si="98"/>
        <v>65.06831249999999</v>
      </c>
      <c r="P74" s="7">
        <f t="shared" si="97"/>
        <v>0</v>
      </c>
      <c r="Y74" s="7">
        <f>0.05*Y17*0.05</f>
        <v>42.931687500000002</v>
      </c>
    </row>
    <row r="75" spans="1:32" x14ac:dyDescent="0.25">
      <c r="A75" s="26">
        <v>100000017899</v>
      </c>
      <c r="B75" s="27" t="s">
        <v>52</v>
      </c>
      <c r="C75" s="74">
        <f>C66*1%</f>
        <v>124</v>
      </c>
      <c r="D75" s="36">
        <f t="shared" si="90"/>
        <v>124</v>
      </c>
      <c r="K75" s="7">
        <f t="shared" si="94"/>
        <v>0</v>
      </c>
      <c r="P75" s="7">
        <f t="shared" si="91"/>
        <v>0</v>
      </c>
      <c r="T75" s="74">
        <f>T66*1%</f>
        <v>59.52</v>
      </c>
      <c r="Y75" s="7">
        <f t="shared" si="92"/>
        <v>0</v>
      </c>
      <c r="AD75" s="74">
        <f>AD66*1%</f>
        <v>64.48</v>
      </c>
    </row>
    <row r="76" spans="1:32" x14ac:dyDescent="0.25">
      <c r="A76" s="26">
        <v>100000017897</v>
      </c>
      <c r="B76" s="27" t="s">
        <v>53</v>
      </c>
      <c r="C76" s="43">
        <f>C66*5%</f>
        <v>620</v>
      </c>
      <c r="D76" s="36">
        <f t="shared" si="90"/>
        <v>620</v>
      </c>
      <c r="K76" s="7">
        <f t="shared" si="94"/>
        <v>0</v>
      </c>
      <c r="P76" s="7">
        <f t="shared" si="91"/>
        <v>0</v>
      </c>
      <c r="T76" s="43">
        <f>T66*5%</f>
        <v>297.60000000000002</v>
      </c>
      <c r="Y76" s="7">
        <f t="shared" si="92"/>
        <v>0</v>
      </c>
      <c r="AD76" s="43">
        <f>AD66*5%</f>
        <v>322.40000000000003</v>
      </c>
    </row>
    <row r="77" spans="1:32" x14ac:dyDescent="0.25">
      <c r="A77" s="26"/>
      <c r="B77" s="27" t="s">
        <v>121</v>
      </c>
      <c r="C77" s="36">
        <v>200</v>
      </c>
      <c r="D77" s="36">
        <f t="shared" si="90"/>
        <v>200</v>
      </c>
      <c r="K77" s="7">
        <f>C77</f>
        <v>200</v>
      </c>
    </row>
    <row r="78" spans="1:32" x14ac:dyDescent="0.25">
      <c r="A78" s="26"/>
      <c r="B78" s="27" t="s">
        <v>122</v>
      </c>
      <c r="C78" s="36">
        <v>100</v>
      </c>
      <c r="D78" s="36">
        <f t="shared" si="90"/>
        <v>100</v>
      </c>
      <c r="K78" s="7">
        <f t="shared" ref="K78:K80" si="99">C78</f>
        <v>100</v>
      </c>
    </row>
    <row r="79" spans="1:32" x14ac:dyDescent="0.25">
      <c r="A79" s="26"/>
      <c r="B79" s="27" t="s">
        <v>127</v>
      </c>
      <c r="C79" s="36">
        <v>30</v>
      </c>
      <c r="D79" s="36">
        <f t="shared" si="90"/>
        <v>30</v>
      </c>
      <c r="K79" s="7">
        <f t="shared" si="99"/>
        <v>30</v>
      </c>
    </row>
    <row r="80" spans="1:32" x14ac:dyDescent="0.25">
      <c r="A80" s="26"/>
      <c r="B80" s="27" t="s">
        <v>128</v>
      </c>
      <c r="C80" s="36">
        <v>30</v>
      </c>
      <c r="D80" s="36">
        <f t="shared" si="90"/>
        <v>30</v>
      </c>
      <c r="K80" s="7">
        <f t="shared" si="99"/>
        <v>30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352</v>
      </c>
      <c r="D83" s="36">
        <f t="shared" si="90"/>
        <v>352</v>
      </c>
      <c r="K83" s="7">
        <f t="shared" si="94"/>
        <v>0</v>
      </c>
      <c r="P83" s="7">
        <f t="shared" si="91"/>
        <v>0</v>
      </c>
      <c r="T83" s="7">
        <f>C83</f>
        <v>352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>
        <v>100</v>
      </c>
      <c r="D84" s="36">
        <f t="shared" si="90"/>
        <v>100</v>
      </c>
      <c r="K84" s="7">
        <f t="shared" si="94"/>
        <v>0</v>
      </c>
      <c r="P84" s="7">
        <f t="shared" si="91"/>
        <v>0</v>
      </c>
      <c r="T84" s="7">
        <f>C84</f>
        <v>100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>
        <v>500</v>
      </c>
      <c r="D85" s="36">
        <f t="shared" si="90"/>
        <v>500</v>
      </c>
      <c r="K85" s="7">
        <f t="shared" si="94"/>
        <v>0</v>
      </c>
      <c r="P85" s="7">
        <f t="shared" si="91"/>
        <v>0</v>
      </c>
      <c r="T85" s="7">
        <f t="shared" ref="T85:T87" si="100">C85</f>
        <v>500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>
        <v>300</v>
      </c>
      <c r="D86" s="36">
        <f t="shared" si="90"/>
        <v>300</v>
      </c>
      <c r="K86" s="7">
        <f t="shared" si="94"/>
        <v>0</v>
      </c>
      <c r="P86" s="7">
        <f t="shared" si="91"/>
        <v>0</v>
      </c>
      <c r="T86" s="7">
        <f t="shared" si="100"/>
        <v>300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>
        <v>100</v>
      </c>
      <c r="D87" s="36">
        <f t="shared" si="90"/>
        <v>100</v>
      </c>
      <c r="K87" s="7">
        <f t="shared" si="94"/>
        <v>0</v>
      </c>
      <c r="P87" s="7">
        <f t="shared" si="91"/>
        <v>0</v>
      </c>
      <c r="T87" s="7">
        <f t="shared" si="100"/>
        <v>100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526</v>
      </c>
      <c r="D89" s="36">
        <f t="shared" si="90"/>
        <v>526</v>
      </c>
      <c r="K89" s="7">
        <f>C89</f>
        <v>526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381</v>
      </c>
      <c r="D90" s="36">
        <f t="shared" si="90"/>
        <v>381</v>
      </c>
      <c r="K90" s="7">
        <f>C90</f>
        <v>381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>
        <v>600</v>
      </c>
      <c r="D91" s="36">
        <f t="shared" si="90"/>
        <v>600</v>
      </c>
      <c r="K91" s="7">
        <f>C91</f>
        <v>600</v>
      </c>
    </row>
    <row r="92" spans="1:32" x14ac:dyDescent="0.25">
      <c r="A92" s="26">
        <v>100000025958</v>
      </c>
      <c r="B92" s="27" t="s">
        <v>133</v>
      </c>
      <c r="C92" s="36">
        <v>0</v>
      </c>
      <c r="D92" s="36">
        <f>K92+P92+T92+Y92+AD92</f>
        <v>0</v>
      </c>
      <c r="K92" s="7">
        <f t="shared" ref="K92" si="101">SUM(F92:J92)</f>
        <v>0</v>
      </c>
      <c r="P92" s="7">
        <f>C92</f>
        <v>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104698</v>
      </c>
      <c r="D93" s="36">
        <f>K93+P93+T93+Y93+AD93</f>
        <v>104698</v>
      </c>
      <c r="K93" s="36">
        <f>SUM(K45:K92)</f>
        <v>27728.56625</v>
      </c>
      <c r="P93" s="36">
        <f>SUM(P45:P92)</f>
        <v>30960</v>
      </c>
      <c r="S93" s="36"/>
      <c r="T93" s="36">
        <f>SUM(T45:T92)</f>
        <v>8109.920000000001</v>
      </c>
      <c r="Y93" s="36">
        <f>SUM(Y45:Y92)</f>
        <v>16968.633750000001</v>
      </c>
      <c r="AD93" s="36">
        <f>SUM(AD45:AD92)</f>
        <v>20930.879999999997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2200</v>
      </c>
      <c r="D95" s="36">
        <f t="shared" ref="D95:D111" si="102">K95+P95+R95+Y95+AD95</f>
        <v>2200</v>
      </c>
      <c r="K95" s="36">
        <f>K70+K47</f>
        <v>0</v>
      </c>
      <c r="M95" s="7">
        <f>P95</f>
        <v>1980</v>
      </c>
      <c r="P95" s="36">
        <f>P70+P47</f>
        <v>1980</v>
      </c>
      <c r="R95" s="36">
        <f>T70+T47</f>
        <v>0</v>
      </c>
      <c r="S95" s="36"/>
      <c r="T95" s="36"/>
      <c r="Y95" s="36">
        <f>Y70+Y47</f>
        <v>0</v>
      </c>
      <c r="AC95" s="7">
        <f>AD95</f>
        <v>220</v>
      </c>
      <c r="AD95" s="36">
        <f>AD70+AD47</f>
        <v>220</v>
      </c>
      <c r="AF95" s="36">
        <f>K95+P95+R95+Y95+AD95</f>
        <v>2200</v>
      </c>
    </row>
    <row r="96" spans="1:32" x14ac:dyDescent="0.25">
      <c r="A96" s="26">
        <v>100000002975</v>
      </c>
      <c r="B96" s="29" t="s">
        <v>21</v>
      </c>
      <c r="C96" s="36">
        <f>C74+C73+C72+C71</f>
        <v>2515</v>
      </c>
      <c r="D96" s="36">
        <f t="shared" si="102"/>
        <v>2515</v>
      </c>
      <c r="J96" s="7">
        <f>K96</f>
        <v>741.56625000000008</v>
      </c>
      <c r="K96" s="36">
        <f>K74+K73+K72+K71</f>
        <v>741.56625000000008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280.32375000000002</v>
      </c>
      <c r="W96" s="7">
        <f>0.06*SUM(W99:W110)</f>
        <v>289.15499999999997</v>
      </c>
      <c r="X96" s="7">
        <f>0.06*SUM(X99:X110)</f>
        <v>289.15499999999997</v>
      </c>
      <c r="Y96" s="36">
        <f>Y74+Y73+Y72+Y71</f>
        <v>858.63374999999996</v>
      </c>
      <c r="AA96" s="7">
        <f>AD96*0.5</f>
        <v>457.4</v>
      </c>
      <c r="AB96" s="7">
        <f>AD96*0.25</f>
        <v>228.7</v>
      </c>
      <c r="AC96" s="7">
        <f>AD96*0.25</f>
        <v>228.7</v>
      </c>
      <c r="AD96" s="36">
        <f>AD74+AD73+AD72+AD71</f>
        <v>914.8</v>
      </c>
      <c r="AF96" s="36">
        <f t="shared" ref="AF96:AF110" si="103">K96+P96+R96+Y96+AD96</f>
        <v>2515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2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3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2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3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22300</v>
      </c>
      <c r="D99" s="36">
        <f t="shared" si="102"/>
        <v>22300</v>
      </c>
      <c r="H99" s="7">
        <f>K99</f>
        <v>7110</v>
      </c>
      <c r="K99" s="36">
        <f>K64+K69+K91</f>
        <v>7110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3038</v>
      </c>
      <c r="W99" s="7">
        <f>Y99*0.3</f>
        <v>2278.4999999999995</v>
      </c>
      <c r="X99" s="7">
        <f>Y99*0.3</f>
        <v>2278.4999999999995</v>
      </c>
      <c r="Y99" s="36">
        <f>Y64+Y69+Y91</f>
        <v>7594.9999999999991</v>
      </c>
      <c r="AC99" s="7">
        <f>AD99</f>
        <v>7594.9999999999991</v>
      </c>
      <c r="AD99" s="36">
        <f>AD64+AD69+AD91</f>
        <v>7594.9999999999991</v>
      </c>
      <c r="AF99" s="36">
        <f t="shared" si="103"/>
        <v>22300</v>
      </c>
    </row>
    <row r="100" spans="1:32" x14ac:dyDescent="0.25">
      <c r="A100" s="26">
        <v>100000002989</v>
      </c>
      <c r="B100" s="29" t="s">
        <v>18</v>
      </c>
      <c r="C100" s="36">
        <f>C63</f>
        <v>7700</v>
      </c>
      <c r="D100" s="36">
        <f t="shared" si="102"/>
        <v>7700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1963.5</v>
      </c>
      <c r="W100" s="7">
        <f>Y100*0.35</f>
        <v>2290.75</v>
      </c>
      <c r="X100" s="7">
        <f>Y100*0.35</f>
        <v>2290.75</v>
      </c>
      <c r="Y100" s="36">
        <f>Y63</f>
        <v>6545</v>
      </c>
      <c r="AC100" s="7">
        <f>AD100</f>
        <v>1155</v>
      </c>
      <c r="AD100" s="36">
        <f>AD63</f>
        <v>1155</v>
      </c>
      <c r="AF100" s="36">
        <f t="shared" si="103"/>
        <v>7700</v>
      </c>
    </row>
    <row r="101" spans="1:32" x14ac:dyDescent="0.25">
      <c r="A101" s="26">
        <v>100000006036</v>
      </c>
      <c r="B101" s="29" t="s">
        <v>70</v>
      </c>
      <c r="C101" s="36">
        <f>C67+C46</f>
        <v>3520</v>
      </c>
      <c r="D101" s="36">
        <f t="shared" si="102"/>
        <v>3520</v>
      </c>
      <c r="I101" s="7">
        <f>K101</f>
        <v>3520</v>
      </c>
      <c r="K101" s="36">
        <f>K67+K46</f>
        <v>3520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3"/>
        <v>3520</v>
      </c>
    </row>
    <row r="102" spans="1:32" x14ac:dyDescent="0.25">
      <c r="A102" s="26">
        <v>100000006046</v>
      </c>
      <c r="B102" s="29" t="s">
        <v>71</v>
      </c>
      <c r="C102" s="36">
        <f>C82+C68</f>
        <v>700</v>
      </c>
      <c r="D102" s="36">
        <f t="shared" si="102"/>
        <v>700</v>
      </c>
      <c r="J102" s="7">
        <f>K102</f>
        <v>700</v>
      </c>
      <c r="K102" s="36">
        <f>K82+K68</f>
        <v>700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3"/>
        <v>700</v>
      </c>
    </row>
    <row r="103" spans="1:32" x14ac:dyDescent="0.25">
      <c r="A103" s="26">
        <v>100000006047</v>
      </c>
      <c r="B103" s="29" t="s">
        <v>72</v>
      </c>
      <c r="C103" s="36">
        <f>C53+C92</f>
        <v>24500</v>
      </c>
      <c r="D103" s="36">
        <f t="shared" si="102"/>
        <v>24500</v>
      </c>
      <c r="H103" s="7">
        <f>K103</f>
        <v>0</v>
      </c>
      <c r="K103" s="36">
        <f>K53+K92</f>
        <v>0</v>
      </c>
      <c r="N103" s="7">
        <f>P103*0.5</f>
        <v>11515</v>
      </c>
      <c r="O103" s="7">
        <f>P103*0.5</f>
        <v>11515</v>
      </c>
      <c r="P103" s="36">
        <f>P53+P92</f>
        <v>23030</v>
      </c>
      <c r="R103" s="36">
        <f>T53</f>
        <v>0</v>
      </c>
      <c r="S103" s="36"/>
      <c r="T103" s="36"/>
      <c r="V103" s="7">
        <f>Y103</f>
        <v>1470</v>
      </c>
      <c r="Y103" s="36">
        <f>Y53+Y92</f>
        <v>1470</v>
      </c>
      <c r="AD103" s="36">
        <f>AD53+AD92</f>
        <v>0</v>
      </c>
      <c r="AF103" s="36">
        <f t="shared" si="103"/>
        <v>24500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1197</v>
      </c>
      <c r="D104" s="36">
        <f t="shared" si="102"/>
        <v>1197</v>
      </c>
      <c r="J104" s="7">
        <f>K104</f>
        <v>1197</v>
      </c>
      <c r="K104" s="36">
        <f>K90+K89+K58+K57+K56+K55</f>
        <v>1197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3"/>
        <v>1197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2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3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2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3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14100</v>
      </c>
      <c r="D107" s="36">
        <f t="shared" si="102"/>
        <v>14100</v>
      </c>
      <c r="F107" s="7">
        <f>K107*0.25</f>
        <v>3525</v>
      </c>
      <c r="G107" s="7">
        <f>K107*0.65</f>
        <v>9165</v>
      </c>
      <c r="H107" s="7">
        <f>K107*0.1</f>
        <v>1410</v>
      </c>
      <c r="K107" s="36">
        <f>K65</f>
        <v>14100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0</v>
      </c>
      <c r="AD107" s="36">
        <f>AD65</f>
        <v>0</v>
      </c>
      <c r="AF107" s="36">
        <f t="shared" si="103"/>
        <v>14100</v>
      </c>
    </row>
    <row r="108" spans="1:32" x14ac:dyDescent="0.25">
      <c r="A108" s="26">
        <v>100000032221</v>
      </c>
      <c r="B108" s="29" t="s">
        <v>77</v>
      </c>
      <c r="C108" s="36">
        <f>C54</f>
        <v>8500</v>
      </c>
      <c r="D108" s="36">
        <f t="shared" si="102"/>
        <v>8500</v>
      </c>
      <c r="G108" s="7">
        <f>K108</f>
        <v>0</v>
      </c>
      <c r="K108" s="36">
        <f>K54</f>
        <v>0</v>
      </c>
      <c r="M108" s="7">
        <f>P108</f>
        <v>5950</v>
      </c>
      <c r="P108" s="36">
        <f>P54</f>
        <v>5950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2550</v>
      </c>
      <c r="AD108" s="36">
        <f>AD54</f>
        <v>2550</v>
      </c>
      <c r="AF108" s="36">
        <f t="shared" si="103"/>
        <v>8500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16606</v>
      </c>
      <c r="D109" s="36">
        <f>K109+P109+T109+Y109+AD109</f>
        <v>16606</v>
      </c>
      <c r="K109" s="36">
        <f>K83+K66+K49+K51+K52+K48+K75+K76</f>
        <v>0</v>
      </c>
      <c r="P109" s="36">
        <f>P83+P66+P49+P51+P52+P48+P75+P76</f>
        <v>0</v>
      </c>
      <c r="R109" s="36">
        <f>T35</f>
        <v>6457.920000000001</v>
      </c>
      <c r="S109" s="36">
        <f>T36</f>
        <v>1652</v>
      </c>
      <c r="T109" s="36">
        <f>T83+T66+T49+T51+T52+T48+T75+T76+T84+T85+T86+T87</f>
        <v>8109.920000000001</v>
      </c>
      <c r="Y109" s="36">
        <f>Y83+Y66+Y49+Y51+Y52+Y48+Y75+Y76</f>
        <v>0</v>
      </c>
      <c r="AA109" s="7">
        <f>AD35</f>
        <v>6996.079999999999</v>
      </c>
      <c r="AB109" s="7">
        <f>AD36</f>
        <v>1500</v>
      </c>
      <c r="AD109" s="36">
        <f>AD83+AD66+AD49+AD51+AD52+AD48+AD75+AD76+AD84+AD85+AD86+AD87</f>
        <v>8496.08</v>
      </c>
      <c r="AF109" s="36">
        <f t="shared" si="103"/>
        <v>14954</v>
      </c>
    </row>
    <row r="110" spans="1:32" x14ac:dyDescent="0.25">
      <c r="B110" s="19" t="s">
        <v>84</v>
      </c>
      <c r="C110" s="16">
        <f>C50</f>
        <v>500</v>
      </c>
      <c r="D110" s="36">
        <f t="shared" si="102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3"/>
        <v>500</v>
      </c>
    </row>
    <row r="111" spans="1:32" x14ac:dyDescent="0.25">
      <c r="B111" s="16" t="s">
        <v>94</v>
      </c>
      <c r="C111" s="16">
        <f>C77+C78+C79+C80</f>
        <v>360</v>
      </c>
      <c r="D111" s="36">
        <f t="shared" si="102"/>
        <v>360</v>
      </c>
      <c r="H111" s="7">
        <f>K111</f>
        <v>360</v>
      </c>
      <c r="K111" s="16">
        <f>K77+K78+K79+K80</f>
        <v>360</v>
      </c>
      <c r="P111" s="16">
        <f>P77+P78+P79+P80</f>
        <v>0</v>
      </c>
    </row>
    <row r="112" spans="1:32" x14ac:dyDescent="0.25">
      <c r="AC112" s="7">
        <f>AC100+AC99</f>
        <v>8750</v>
      </c>
    </row>
    <row r="113" spans="22:29" x14ac:dyDescent="0.25">
      <c r="AC113" s="7">
        <f>AC112/0.8</f>
        <v>10937.5</v>
      </c>
    </row>
    <row r="114" spans="22:29" x14ac:dyDescent="0.25">
      <c r="AC114" s="7">
        <f>AC113*0.27</f>
        <v>2953.125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CE117"/>
  <sheetViews>
    <sheetView topLeftCell="B4" zoomScaleNormal="100" workbookViewId="0">
      <pane xSplit="4" ySplit="4" topLeftCell="BU25" activePane="bottomRight" state="frozen"/>
      <selection activeCell="D53" sqref="D53"/>
      <selection pane="topRight" activeCell="D53" sqref="D53"/>
      <selection pane="bottomLeft" activeCell="D53" sqref="D53"/>
      <selection pane="bottomRight" activeCell="CA40" sqref="CA40:CE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0.31466331025802396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220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1710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5990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171.6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1333.8</v>
      </c>
      <c r="L10" s="3"/>
      <c r="M10" s="5">
        <f t="shared" ref="M10:O10" si="1">M8*M9</f>
        <v>390</v>
      </c>
      <c r="N10" s="5">
        <f t="shared" si="1"/>
        <v>546</v>
      </c>
      <c r="O10" s="5">
        <f t="shared" si="1"/>
        <v>546</v>
      </c>
      <c r="P10" s="5">
        <f>SUM(M10:O10)</f>
        <v>1482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4694.8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27.75</v>
      </c>
      <c r="G15" s="40">
        <f t="shared" ref="G15:J15" si="5">G11-G12-G14-G13</f>
        <v>27.75</v>
      </c>
      <c r="H15" s="40">
        <f t="shared" si="5"/>
        <v>27.75</v>
      </c>
      <c r="I15" s="40">
        <f t="shared" si="5"/>
        <v>27.75</v>
      </c>
      <c r="J15" s="40">
        <f t="shared" si="5"/>
        <v>27.75</v>
      </c>
      <c r="K15" s="1"/>
      <c r="M15" s="40">
        <f>M11-M12-M14-M13</f>
        <v>27.75</v>
      </c>
      <c r="N15" s="40">
        <f t="shared" ref="N15:O15" si="6">N11-N12-N14-N13</f>
        <v>27.75</v>
      </c>
      <c r="O15" s="40">
        <f t="shared" si="6"/>
        <v>27.75</v>
      </c>
      <c r="P15" s="1"/>
      <c r="R15" s="40">
        <f>R11-R12-R14-R13</f>
        <v>28.75</v>
      </c>
      <c r="S15" s="40">
        <f t="shared" ref="S15" si="7">S11-S12-S14-S13</f>
        <v>28.75</v>
      </c>
      <c r="T15" s="40"/>
      <c r="V15" s="40">
        <f t="shared" ref="V15:X15" si="8">V11-V12-V14-V13</f>
        <v>27.75</v>
      </c>
      <c r="W15" s="40">
        <f t="shared" si="8"/>
        <v>27.75</v>
      </c>
      <c r="X15" s="40">
        <f t="shared" si="8"/>
        <v>27.75</v>
      </c>
      <c r="Y15" s="1"/>
      <c r="AA15" s="40">
        <f t="shared" ref="AA15:AC15" si="9">AA11-AA12-AA14-AA13</f>
        <v>28.75</v>
      </c>
      <c r="AB15" s="40">
        <f t="shared" si="9"/>
        <v>28.75</v>
      </c>
      <c r="AC15" s="40">
        <f t="shared" si="9"/>
        <v>28.25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1</v>
      </c>
      <c r="S16" s="21">
        <v>1</v>
      </c>
      <c r="T16" s="21"/>
      <c r="V16" s="21">
        <v>0.95</v>
      </c>
      <c r="W16" s="21">
        <v>0.95</v>
      </c>
      <c r="X16" s="21">
        <v>0.95</v>
      </c>
      <c r="Y16" s="21"/>
      <c r="AA16" s="21">
        <v>1</v>
      </c>
      <c r="AB16" s="21">
        <v>1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4047.6149999999998</v>
      </c>
      <c r="G17" s="1">
        <f t="shared" ref="G17:J17" si="10">G16*G15*G10</f>
        <v>9740.25</v>
      </c>
      <c r="H17" s="1">
        <f t="shared" si="10"/>
        <v>9740.25</v>
      </c>
      <c r="I17" s="1">
        <f t="shared" si="10"/>
        <v>4285.71</v>
      </c>
      <c r="J17" s="1">
        <f t="shared" si="10"/>
        <v>5259.7350000000006</v>
      </c>
      <c r="K17" s="5">
        <f>SUM(F17:J17)</f>
        <v>33073.56</v>
      </c>
      <c r="M17" s="1">
        <f t="shared" ref="M17:O17" si="11">M16*M15*M10</f>
        <v>9740.25</v>
      </c>
      <c r="N17" s="1">
        <f t="shared" si="11"/>
        <v>13636.35</v>
      </c>
      <c r="O17" s="1">
        <f t="shared" si="11"/>
        <v>13636.35</v>
      </c>
      <c r="P17" s="5">
        <f>SUM(M17:O17)</f>
        <v>37012.949999999997</v>
      </c>
      <c r="R17" s="1">
        <f>R16*R15*R10</f>
        <v>6555</v>
      </c>
      <c r="S17" s="1">
        <f t="shared" ref="S17" si="12">S16*S15*S10</f>
        <v>2000.9999999999998</v>
      </c>
      <c r="T17" s="1">
        <f>R17+S17</f>
        <v>8556</v>
      </c>
      <c r="V17" s="1">
        <f>V16*V15*V10</f>
        <v>7402.5899999999992</v>
      </c>
      <c r="W17" s="1">
        <f t="shared" ref="W17:X17" si="13">W16*W15*W10</f>
        <v>5551.9424999999992</v>
      </c>
      <c r="X17" s="1">
        <f t="shared" si="13"/>
        <v>5551.9424999999992</v>
      </c>
      <c r="Y17" s="5">
        <f>SUM(V17:X17)</f>
        <v>18506.474999999999</v>
      </c>
      <c r="AA17" s="70">
        <f>AA16*AA15*AA10</f>
        <v>7590</v>
      </c>
      <c r="AB17" s="70">
        <f>AB16*AB15*AB10</f>
        <v>3795</v>
      </c>
      <c r="AC17" s="1">
        <f t="shared" ref="AC17" si="14">AC16*AC15*AC10</f>
        <v>14060.025</v>
      </c>
      <c r="AD17" s="5">
        <f>SUM(Z17:AC17)</f>
        <v>25445.025000000001</v>
      </c>
      <c r="AF17" s="1">
        <f>AD17+Y17+R17+P17+K17</f>
        <v>120593.01</v>
      </c>
      <c r="AI17" s="46"/>
    </row>
    <row r="19" spans="2:83" x14ac:dyDescent="0.25">
      <c r="B19" s="19" t="s">
        <v>18</v>
      </c>
      <c r="C19" s="16">
        <f>C27+C29+C30+C31+C34+C28</f>
        <v>73746</v>
      </c>
      <c r="D19" s="16">
        <f>D27+D29+D30+D31+D34+D28</f>
        <v>73746</v>
      </c>
      <c r="F19" s="1">
        <f>F17</f>
        <v>4047.6149999999998</v>
      </c>
      <c r="G19" s="1">
        <f t="shared" ref="G19:H19" si="15">G17</f>
        <v>9740.25</v>
      </c>
      <c r="H19" s="1">
        <f t="shared" si="15"/>
        <v>9740.25</v>
      </c>
      <c r="I19" s="1"/>
      <c r="J19" s="1"/>
      <c r="K19" s="5">
        <f t="shared" ref="K19:K25" si="16">SUM(F19:J19)</f>
        <v>23528.114999999998</v>
      </c>
      <c r="M19" s="1">
        <f>M17*0.5</f>
        <v>4870.125</v>
      </c>
      <c r="N19" s="1">
        <f>N17*0.8</f>
        <v>10909.080000000002</v>
      </c>
      <c r="O19" s="1">
        <f>O17</f>
        <v>13636.35</v>
      </c>
      <c r="P19" s="5">
        <f t="shared" ref="P19:P25" si="17">SUM(M19:O19)</f>
        <v>29415.555</v>
      </c>
      <c r="R19" s="1"/>
      <c r="S19" s="1"/>
      <c r="T19" s="1">
        <f t="shared" ref="T19:T24" si="18">R19+S19</f>
        <v>0</v>
      </c>
      <c r="V19" s="1">
        <f>V17-V23</f>
        <v>6833.16</v>
      </c>
      <c r="W19" s="1">
        <f t="shared" ref="W19:X19" si="19">W17-W23</f>
        <v>5124.869999999999</v>
      </c>
      <c r="X19" s="1">
        <f t="shared" si="19"/>
        <v>5124.869999999999</v>
      </c>
      <c r="Y19" s="5">
        <f t="shared" ref="Y19:Y25" si="20">SUM(V19:X19)</f>
        <v>17082.899999999998</v>
      </c>
      <c r="AA19" s="1"/>
      <c r="AB19" s="1"/>
      <c r="AC19" s="1">
        <f>AC17*0.95</f>
        <v>13357.023749999998</v>
      </c>
      <c r="AD19" s="5">
        <f t="shared" ref="AD19:AD25" si="21">SUM(Z19:AC19)</f>
        <v>13357.023749999998</v>
      </c>
      <c r="AF19" s="1">
        <f t="shared" ref="AF19:AF25" si="22">AD19+Y19+R19+P19+K19</f>
        <v>83383.59375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2629.8675000000003</v>
      </c>
      <c r="K20" s="5">
        <f t="shared" si="16"/>
        <v>2629.8675000000003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2629.8675000000003</v>
      </c>
    </row>
    <row r="21" spans="2:83" x14ac:dyDescent="0.25">
      <c r="B21" s="19" t="s">
        <v>19</v>
      </c>
      <c r="C21" s="16">
        <f>C33</f>
        <v>2200</v>
      </c>
      <c r="D21" s="16">
        <f>D33</f>
        <v>2200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4870.125</v>
      </c>
      <c r="N21" s="1">
        <f>N17*0.2</f>
        <v>2727.2700000000004</v>
      </c>
      <c r="O21" s="1"/>
      <c r="P21" s="5">
        <f t="shared" si="17"/>
        <v>7597.3950000000004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7597.3950000000004</v>
      </c>
    </row>
    <row r="22" spans="2:83" x14ac:dyDescent="0.25">
      <c r="B22" s="19" t="s">
        <v>20</v>
      </c>
      <c r="C22" s="16">
        <f>C32</f>
        <v>3520</v>
      </c>
      <c r="D22" s="16">
        <f>D32</f>
        <v>3520</v>
      </c>
      <c r="F22" s="1"/>
      <c r="G22" s="1"/>
      <c r="H22" s="1"/>
      <c r="I22" s="1">
        <f>I17</f>
        <v>4285.71</v>
      </c>
      <c r="J22" s="1"/>
      <c r="K22" s="5">
        <f t="shared" si="16"/>
        <v>4285.71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4285.71</v>
      </c>
    </row>
    <row r="23" spans="2:83" x14ac:dyDescent="0.25">
      <c r="B23" s="19" t="s">
        <v>21</v>
      </c>
      <c r="C23" s="16">
        <f>C37+C38+C39</f>
        <v>4092</v>
      </c>
      <c r="D23" s="16">
        <f>D37+D38+D39</f>
        <v>4092</v>
      </c>
      <c r="F23" s="1"/>
      <c r="G23" s="1"/>
      <c r="H23" s="1"/>
      <c r="I23" s="1"/>
      <c r="J23" s="1">
        <f>J17*0.5</f>
        <v>2629.8675000000003</v>
      </c>
      <c r="K23" s="5">
        <f t="shared" si="16"/>
        <v>2629.8675000000003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569.42999999999984</v>
      </c>
      <c r="W23" s="1">
        <f t="shared" ref="W23:X23" si="23">(W17/W9)*0.06</f>
        <v>427.07249999999993</v>
      </c>
      <c r="X23" s="1">
        <f t="shared" si="23"/>
        <v>427.07249999999993</v>
      </c>
      <c r="Y23" s="5">
        <f t="shared" si="20"/>
        <v>1423.5749999999998</v>
      </c>
      <c r="AA23" s="1">
        <f>AA17*0.08</f>
        <v>607.20000000000005</v>
      </c>
      <c r="AB23" s="1">
        <f>AB17*0.08</f>
        <v>303.60000000000002</v>
      </c>
      <c r="AC23" s="1">
        <f>AC17*0.05</f>
        <v>703.00125000000003</v>
      </c>
      <c r="AD23" s="5">
        <f t="shared" si="21"/>
        <v>1613.80125</v>
      </c>
      <c r="AF23" s="1">
        <f t="shared" si="22"/>
        <v>5667.2437499999996</v>
      </c>
    </row>
    <row r="24" spans="2:83" x14ac:dyDescent="0.25">
      <c r="B24" s="19" t="s">
        <v>91</v>
      </c>
      <c r="C24" s="16">
        <f>C35</f>
        <v>13345.5</v>
      </c>
      <c r="D24" s="16">
        <f>D35</f>
        <v>13345.5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6555</v>
      </c>
      <c r="S24" s="1"/>
      <c r="T24" s="1">
        <f t="shared" si="18"/>
        <v>6555</v>
      </c>
      <c r="V24" s="1"/>
      <c r="W24" s="1"/>
      <c r="X24" s="1"/>
      <c r="Y24" s="5">
        <f t="shared" si="20"/>
        <v>0</v>
      </c>
      <c r="AA24" s="1">
        <f>AA17-AA23</f>
        <v>6982.8</v>
      </c>
      <c r="AB24" s="1"/>
      <c r="AC24" s="1"/>
      <c r="AD24" s="5">
        <f t="shared" si="21"/>
        <v>6982.8</v>
      </c>
      <c r="AF24" s="1">
        <f t="shared" si="22"/>
        <v>13537.8</v>
      </c>
    </row>
    <row r="25" spans="2:83" x14ac:dyDescent="0.25">
      <c r="B25" s="19" t="s">
        <v>126</v>
      </c>
      <c r="C25" s="16">
        <f>C36</f>
        <v>3152</v>
      </c>
      <c r="D25" s="16">
        <f>D36</f>
        <v>3152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2000.9999999999998</v>
      </c>
      <c r="T25" s="1">
        <f>R25+S25</f>
        <v>2000.9999999999998</v>
      </c>
      <c r="V25" s="1"/>
      <c r="W25" s="1"/>
      <c r="X25" s="1"/>
      <c r="Y25" s="5">
        <f t="shared" si="20"/>
        <v>0</v>
      </c>
      <c r="AA25" s="1"/>
      <c r="AB25" s="1">
        <f>AB17-AB23</f>
        <v>3491.4</v>
      </c>
      <c r="AC25" s="1"/>
      <c r="AD25" s="5">
        <f t="shared" si="21"/>
        <v>3491.4</v>
      </c>
      <c r="AF25" s="1">
        <f t="shared" si="22"/>
        <v>3491.4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22300</v>
      </c>
      <c r="D27" s="16">
        <f>D64+D68+D69+D82+D91</f>
        <v>22300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6550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8400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7349.9999999999991</v>
      </c>
      <c r="AH27" s="59" t="str">
        <f>B27</f>
        <v>Mix and Bake</v>
      </c>
      <c r="AI27" s="1">
        <f>K27</f>
        <v>6550</v>
      </c>
      <c r="AJ27" s="1">
        <f>P27</f>
        <v>0</v>
      </c>
      <c r="AK27" s="1">
        <f t="shared" ref="AK27:AK39" si="26">T27</f>
        <v>0</v>
      </c>
      <c r="AL27" s="1">
        <f>Y27</f>
        <v>8400</v>
      </c>
      <c r="AM27" s="1">
        <f>AD27</f>
        <v>7349.9999999999991</v>
      </c>
      <c r="AN27" s="1">
        <f>SUM(AI27:AM27)</f>
        <v>22300</v>
      </c>
      <c r="AP27" s="7">
        <f>AI27/0.78</f>
        <v>8397.4358974358965</v>
      </c>
      <c r="AQ27" s="7">
        <f>AJ27/0.78</f>
        <v>0</v>
      </c>
      <c r="AR27" s="7">
        <f>AK27/0.78</f>
        <v>0</v>
      </c>
      <c r="AS27" s="7">
        <f>AL27/0.78</f>
        <v>10769.23076923077</v>
      </c>
      <c r="AT27" s="7">
        <f>AM27/0.78</f>
        <v>9423.076923076922</v>
      </c>
      <c r="AU27" s="7">
        <f>SUM(AP27:AT27)</f>
        <v>28589.743589743586</v>
      </c>
      <c r="AW27" s="46">
        <v>0.3</v>
      </c>
      <c r="AX27" s="46">
        <v>0.25</v>
      </c>
      <c r="AY27" s="72"/>
      <c r="AZ27" s="46">
        <v>0.3</v>
      </c>
      <c r="BA27" s="46">
        <v>0.3</v>
      </c>
      <c r="BC27" s="7">
        <f>AW27*AP27</f>
        <v>2519.2307692307691</v>
      </c>
      <c r="BD27" s="7">
        <f>AX27*AQ27</f>
        <v>0</v>
      </c>
      <c r="BE27" s="7">
        <f>AY27*AR27</f>
        <v>0</v>
      </c>
      <c r="BF27" s="7">
        <f>AZ27*AS27</f>
        <v>3230.7692307692309</v>
      </c>
      <c r="BG27" s="7">
        <f>BA27*AT27</f>
        <v>2826.9230769230767</v>
      </c>
      <c r="BI27" s="46">
        <v>0.7</v>
      </c>
      <c r="BJ27" s="46">
        <v>0.75</v>
      </c>
      <c r="BK27" s="72"/>
      <c r="BL27" s="46">
        <v>0.7</v>
      </c>
      <c r="BM27" s="46">
        <v>0.7</v>
      </c>
      <c r="BO27" s="7">
        <f>BI27*AP27</f>
        <v>5878.205128205127</v>
      </c>
      <c r="BP27" s="7">
        <f>BJ27*AQ27</f>
        <v>0</v>
      </c>
      <c r="BQ27" s="7">
        <f>BK27*AR27</f>
        <v>0</v>
      </c>
      <c r="BR27" s="7">
        <f>BL27*AS27</f>
        <v>7538.4615384615381</v>
      </c>
      <c r="BS27" s="7">
        <f>BM27*AT27</f>
        <v>6596.1538461538448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7700</v>
      </c>
      <c r="D28" s="16">
        <f>D63</f>
        <v>7700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6545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1155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6545</v>
      </c>
      <c r="AM28" s="1">
        <f t="shared" ref="AM28:AM39" si="34">AD28</f>
        <v>1155</v>
      </c>
      <c r="AN28" s="1">
        <f t="shared" ref="AN28:AN39" si="35">SUM(AI28:AM28)</f>
        <v>7700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8391.0256410256407</v>
      </c>
      <c r="AT28" s="7">
        <f t="shared" si="36"/>
        <v>1480.7692307692307</v>
      </c>
      <c r="AU28" s="7">
        <f t="shared" ref="AU28:AU39" si="37">SUM(AP28:AT28)</f>
        <v>9871.7948717948711</v>
      </c>
      <c r="AW28" s="72"/>
      <c r="AX28" s="72"/>
      <c r="AY28" s="72"/>
      <c r="AZ28" s="46">
        <v>0.35</v>
      </c>
      <c r="BA28" s="46">
        <v>0.35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2936.8589743589741</v>
      </c>
      <c r="BG28" s="7">
        <f t="shared" si="38"/>
        <v>518.26923076923072</v>
      </c>
      <c r="BI28" s="72"/>
      <c r="BJ28" s="72"/>
      <c r="BK28" s="72"/>
      <c r="BL28" s="46">
        <v>0.65</v>
      </c>
      <c r="BM28" s="46">
        <v>0.65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5454.166666666667</v>
      </c>
      <c r="BS28" s="7">
        <f t="shared" si="39"/>
        <v>962.5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22246</v>
      </c>
      <c r="D29" s="16">
        <f>D53+D92</f>
        <v>22245.999999999996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20911.239999999998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1334.76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20911.239999999998</v>
      </c>
      <c r="AK29" s="1">
        <f t="shared" si="26"/>
        <v>0</v>
      </c>
      <c r="AL29" s="1">
        <f t="shared" si="33"/>
        <v>1334.76</v>
      </c>
      <c r="AM29" s="1">
        <f t="shared" si="34"/>
        <v>0</v>
      </c>
      <c r="AN29" s="1">
        <f t="shared" si="35"/>
        <v>22245.999999999996</v>
      </c>
      <c r="AP29" s="7">
        <f t="shared" si="36"/>
        <v>0</v>
      </c>
      <c r="AQ29" s="7">
        <f t="shared" si="36"/>
        <v>26809.282051282047</v>
      </c>
      <c r="AR29" s="7">
        <f t="shared" si="36"/>
        <v>0</v>
      </c>
      <c r="AS29" s="7">
        <f t="shared" si="36"/>
        <v>1711.2307692307691</v>
      </c>
      <c r="AT29" s="7">
        <f t="shared" si="36"/>
        <v>0</v>
      </c>
      <c r="AU29" s="7">
        <f t="shared" si="37"/>
        <v>28520.512820512817</v>
      </c>
      <c r="AW29" s="46">
        <v>0.6</v>
      </c>
      <c r="AX29" s="46">
        <v>0.6</v>
      </c>
      <c r="AY29" s="72"/>
      <c r="AZ29" s="46">
        <v>0.6</v>
      </c>
      <c r="BA29" s="46">
        <v>0.6</v>
      </c>
      <c r="BC29" s="7">
        <f t="shared" si="38"/>
        <v>0</v>
      </c>
      <c r="BD29" s="7">
        <f t="shared" si="38"/>
        <v>16085.569230769228</v>
      </c>
      <c r="BE29" s="7">
        <f t="shared" si="38"/>
        <v>0</v>
      </c>
      <c r="BF29" s="7">
        <f t="shared" si="38"/>
        <v>1026.7384615384615</v>
      </c>
      <c r="BG29" s="7">
        <f t="shared" si="38"/>
        <v>0</v>
      </c>
      <c r="BI29" s="46">
        <v>0.4</v>
      </c>
      <c r="BJ29" s="46">
        <v>0.4</v>
      </c>
      <c r="BK29" s="72"/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10723.712820512819</v>
      </c>
      <c r="BQ29" s="7">
        <f t="shared" si="39"/>
        <v>0</v>
      </c>
      <c r="BR29" s="7">
        <f t="shared" si="39"/>
        <v>684.49230769230769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6500</v>
      </c>
      <c r="D30" s="16">
        <f>D54</f>
        <v>6500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3250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3250</v>
      </c>
      <c r="AH30" s="59" t="str">
        <f t="shared" si="45"/>
        <v>Bakewell</v>
      </c>
      <c r="AI30" s="1">
        <f t="shared" si="31"/>
        <v>0</v>
      </c>
      <c r="AJ30" s="1">
        <f t="shared" si="32"/>
        <v>3250</v>
      </c>
      <c r="AK30" s="1">
        <f t="shared" si="26"/>
        <v>0</v>
      </c>
      <c r="AL30" s="1">
        <f t="shared" si="33"/>
        <v>0</v>
      </c>
      <c r="AM30" s="1">
        <f t="shared" si="34"/>
        <v>3250</v>
      </c>
      <c r="AN30" s="1">
        <f t="shared" si="35"/>
        <v>6500</v>
      </c>
      <c r="AP30" s="7">
        <f t="shared" si="36"/>
        <v>0</v>
      </c>
      <c r="AQ30" s="7">
        <f t="shared" si="36"/>
        <v>4166.666666666667</v>
      </c>
      <c r="AR30" s="7">
        <f t="shared" si="36"/>
        <v>0</v>
      </c>
      <c r="AS30" s="7">
        <f t="shared" si="36"/>
        <v>0</v>
      </c>
      <c r="AT30" s="7">
        <f t="shared" si="36"/>
        <v>4166.666666666667</v>
      </c>
      <c r="AU30" s="7">
        <f t="shared" si="37"/>
        <v>8333.3333333333339</v>
      </c>
      <c r="AW30" s="46">
        <v>0.15</v>
      </c>
      <c r="AX30" s="46">
        <v>0.1</v>
      </c>
      <c r="AY30" s="72"/>
      <c r="AZ30" s="46">
        <v>0.15</v>
      </c>
      <c r="BA30" s="46">
        <v>0.15</v>
      </c>
      <c r="BC30" s="7">
        <f t="shared" si="38"/>
        <v>0</v>
      </c>
      <c r="BD30" s="7">
        <f t="shared" si="38"/>
        <v>416.66666666666674</v>
      </c>
      <c r="BE30" s="7">
        <f t="shared" si="38"/>
        <v>0</v>
      </c>
      <c r="BF30" s="7">
        <f t="shared" si="38"/>
        <v>0</v>
      </c>
      <c r="BG30" s="7">
        <f t="shared" si="38"/>
        <v>625</v>
      </c>
      <c r="BI30" s="46">
        <v>0.85</v>
      </c>
      <c r="BJ30" s="46">
        <v>0.9</v>
      </c>
      <c r="BK30" s="72"/>
      <c r="BL30" s="46">
        <v>0.85</v>
      </c>
      <c r="BM30" s="46">
        <v>0.85</v>
      </c>
      <c r="BO30" s="7">
        <f t="shared" si="46"/>
        <v>0</v>
      </c>
      <c r="BP30" s="7">
        <f t="shared" si="39"/>
        <v>3750.0000000000005</v>
      </c>
      <c r="BQ30" s="7">
        <f t="shared" si="39"/>
        <v>0</v>
      </c>
      <c r="BR30" s="7">
        <f t="shared" si="39"/>
        <v>0</v>
      </c>
      <c r="BS30" s="7">
        <f t="shared" si="39"/>
        <v>3541.666666666667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14500</v>
      </c>
      <c r="D31" s="16">
        <f>D65</f>
        <v>14500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14500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0</v>
      </c>
      <c r="AH31" s="59" t="str">
        <f t="shared" si="45"/>
        <v>Bua Premium</v>
      </c>
      <c r="AI31" s="1">
        <f t="shared" si="31"/>
        <v>14500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0</v>
      </c>
      <c r="AN31" s="1">
        <f t="shared" si="35"/>
        <v>14500</v>
      </c>
      <c r="AP31" s="7">
        <f t="shared" si="36"/>
        <v>18589.74358974359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0</v>
      </c>
      <c r="AU31" s="7">
        <f t="shared" si="37"/>
        <v>18589.74358974359</v>
      </c>
      <c r="AW31" s="46">
        <v>0</v>
      </c>
      <c r="AX31" s="46">
        <v>0</v>
      </c>
      <c r="AY31" s="72"/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72"/>
      <c r="BL31" s="46">
        <v>1</v>
      </c>
      <c r="BM31" s="46">
        <v>1</v>
      </c>
      <c r="BO31" s="7">
        <f t="shared" si="46"/>
        <v>18589.74358974359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0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3520</v>
      </c>
      <c r="D32" s="16">
        <f>D46+D67</f>
        <v>3520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3520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3520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3520</v>
      </c>
      <c r="AP32" s="7">
        <f t="shared" si="36"/>
        <v>4512.8205128205127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4512.8205128205127</v>
      </c>
      <c r="AW32" s="46">
        <v>0</v>
      </c>
      <c r="AX32" s="46">
        <v>0</v>
      </c>
      <c r="AY32" s="72"/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72"/>
      <c r="BL32" s="46">
        <v>0.1</v>
      </c>
      <c r="BM32" s="46">
        <v>0.1</v>
      </c>
      <c r="BO32" s="7">
        <f t="shared" si="46"/>
        <v>451.28205128205127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4061.5384615384614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2200</v>
      </c>
      <c r="D33" s="16">
        <f>D47+D70</f>
        <v>2200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1980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220</v>
      </c>
      <c r="AH33" s="59" t="str">
        <f t="shared" si="45"/>
        <v>Noodles Flour</v>
      </c>
      <c r="AI33" s="1">
        <f t="shared" si="31"/>
        <v>0</v>
      </c>
      <c r="AJ33" s="1">
        <f t="shared" si="32"/>
        <v>1980</v>
      </c>
      <c r="AK33" s="1">
        <f t="shared" si="26"/>
        <v>0</v>
      </c>
      <c r="AL33" s="1">
        <f t="shared" si="33"/>
        <v>0</v>
      </c>
      <c r="AM33" s="1">
        <f t="shared" si="34"/>
        <v>220</v>
      </c>
      <c r="AN33" s="1">
        <f t="shared" si="35"/>
        <v>2200</v>
      </c>
      <c r="AP33" s="7">
        <f t="shared" si="36"/>
        <v>0</v>
      </c>
      <c r="AQ33" s="7">
        <f t="shared" si="36"/>
        <v>2538.4615384615386</v>
      </c>
      <c r="AR33" s="7">
        <f t="shared" si="36"/>
        <v>0</v>
      </c>
      <c r="AS33" s="7">
        <f t="shared" si="36"/>
        <v>0</v>
      </c>
      <c r="AT33" s="7">
        <f t="shared" si="36"/>
        <v>282.05128205128204</v>
      </c>
      <c r="AU33" s="7">
        <f t="shared" si="37"/>
        <v>2820.5128205128208</v>
      </c>
      <c r="AW33" s="46">
        <v>0.25</v>
      </c>
      <c r="AX33" s="46">
        <v>0.25</v>
      </c>
      <c r="AY33" s="72"/>
      <c r="AZ33" s="46">
        <v>0.25</v>
      </c>
      <c r="BA33" s="46">
        <v>0.25</v>
      </c>
      <c r="BC33" s="7">
        <f t="shared" si="38"/>
        <v>0</v>
      </c>
      <c r="BD33" s="7">
        <f t="shared" si="38"/>
        <v>634.61538461538464</v>
      </c>
      <c r="BE33" s="7">
        <f t="shared" si="38"/>
        <v>0</v>
      </c>
      <c r="BF33" s="7">
        <f t="shared" si="38"/>
        <v>0</v>
      </c>
      <c r="BG33" s="7">
        <f t="shared" si="38"/>
        <v>70.512820512820511</v>
      </c>
      <c r="BI33" s="46">
        <v>0.75</v>
      </c>
      <c r="BJ33" s="46">
        <v>0.75</v>
      </c>
      <c r="BK33" s="72"/>
      <c r="BL33" s="46">
        <v>0.75</v>
      </c>
      <c r="BM33" s="46">
        <v>0.75</v>
      </c>
      <c r="BO33" s="7">
        <f t="shared" si="46"/>
        <v>0</v>
      </c>
      <c r="BP33" s="7">
        <f t="shared" si="39"/>
        <v>1903.8461538461538</v>
      </c>
      <c r="BQ33" s="7">
        <f t="shared" si="39"/>
        <v>0</v>
      </c>
      <c r="BR33" s="7">
        <f t="shared" si="39"/>
        <v>0</v>
      </c>
      <c r="BS33" s="7">
        <f t="shared" si="39"/>
        <v>211.53846153846155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0.35</v>
      </c>
      <c r="AX34" s="46">
        <v>0.35</v>
      </c>
      <c r="AY34" s="72"/>
      <c r="AZ34" s="46">
        <v>0.35</v>
      </c>
      <c r="BA34" s="46">
        <v>0.35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224.35897435897434</v>
      </c>
      <c r="BG34" s="7">
        <f t="shared" si="38"/>
        <v>0</v>
      </c>
      <c r="BI34" s="46">
        <v>0.65</v>
      </c>
      <c r="BJ34" s="46">
        <v>0.65</v>
      </c>
      <c r="BK34" s="72"/>
      <c r="BL34" s="46">
        <v>0.65</v>
      </c>
      <c r="BM34" s="46">
        <v>0.65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416.66666666666669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13345.5</v>
      </c>
      <c r="D35" s="16">
        <f>D48+D66+D75+D76</f>
        <v>13345.5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6539.295000000001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6806.204999999999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6539.295000000001</v>
      </c>
      <c r="AL35" s="1">
        <f t="shared" si="33"/>
        <v>0</v>
      </c>
      <c r="AM35" s="1">
        <f t="shared" si="34"/>
        <v>6806.204999999999</v>
      </c>
      <c r="AN35" s="1">
        <f t="shared" si="35"/>
        <v>13345.5</v>
      </c>
      <c r="AP35" s="7">
        <f t="shared" si="36"/>
        <v>0</v>
      </c>
      <c r="AQ35" s="7">
        <f t="shared" si="36"/>
        <v>0</v>
      </c>
      <c r="AR35" s="7">
        <f t="shared" si="36"/>
        <v>8383.711538461539</v>
      </c>
      <c r="AS35" s="7">
        <f t="shared" si="36"/>
        <v>0</v>
      </c>
      <c r="AT35" s="7">
        <f t="shared" si="36"/>
        <v>8725.9038461538439</v>
      </c>
      <c r="AU35" s="7">
        <f t="shared" si="37"/>
        <v>17109.615384615383</v>
      </c>
      <c r="AW35" s="72"/>
      <c r="AX35" s="72"/>
      <c r="AY35" s="46">
        <v>0</v>
      </c>
      <c r="AZ35" s="72"/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72"/>
      <c r="BJ35" s="72"/>
      <c r="BK35" s="46">
        <v>1</v>
      </c>
      <c r="BL35" s="72"/>
      <c r="BM35" s="75">
        <v>1</v>
      </c>
      <c r="BO35" s="7">
        <f t="shared" si="46"/>
        <v>0</v>
      </c>
      <c r="BP35" s="7">
        <f t="shared" si="39"/>
        <v>0</v>
      </c>
      <c r="BQ35" s="7">
        <f t="shared" si="39"/>
        <v>8383.711538461539</v>
      </c>
      <c r="BR35" s="7">
        <f t="shared" si="39"/>
        <v>0</v>
      </c>
      <c r="BS35" s="7">
        <f t="shared" si="39"/>
        <v>8725.9038461538439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3152</v>
      </c>
      <c r="D36" s="16">
        <f>D49+D51+D52+D83+D88+D84+D85+D86+D87</f>
        <v>3152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1652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1500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1652</v>
      </c>
      <c r="AL36" s="1">
        <f t="shared" si="33"/>
        <v>0</v>
      </c>
      <c r="AM36" s="1">
        <f t="shared" si="34"/>
        <v>1500</v>
      </c>
      <c r="AN36" s="1">
        <f t="shared" si="35"/>
        <v>3152</v>
      </c>
      <c r="AP36" s="7">
        <f t="shared" si="36"/>
        <v>0</v>
      </c>
      <c r="AQ36" s="7">
        <f t="shared" si="36"/>
        <v>0</v>
      </c>
      <c r="AR36" s="7">
        <f t="shared" si="36"/>
        <v>2117.9487179487178</v>
      </c>
      <c r="AS36" s="7">
        <f t="shared" si="36"/>
        <v>0</v>
      </c>
      <c r="AT36" s="7">
        <f t="shared" si="36"/>
        <v>1923.0769230769231</v>
      </c>
      <c r="AU36" s="7">
        <f t="shared" si="37"/>
        <v>4041.0256410256407</v>
      </c>
      <c r="AW36" s="72"/>
      <c r="AX36" s="72"/>
      <c r="AY36" s="46">
        <v>0</v>
      </c>
      <c r="AZ36" s="72"/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72"/>
      <c r="BJ36" s="72"/>
      <c r="BK36" s="46">
        <v>1</v>
      </c>
      <c r="BL36" s="72"/>
      <c r="BM36" s="75">
        <v>1</v>
      </c>
      <c r="BO36" s="7">
        <f t="shared" si="46"/>
        <v>0</v>
      </c>
      <c r="BP36" s="7">
        <f t="shared" si="39"/>
        <v>0</v>
      </c>
      <c r="BQ36" s="7">
        <f t="shared" si="39"/>
        <v>2117.9487179487178</v>
      </c>
      <c r="BR36" s="7">
        <f t="shared" si="39"/>
        <v>0</v>
      </c>
      <c r="BS36" s="7">
        <f t="shared" si="39"/>
        <v>1923.0769230769231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2545</v>
      </c>
      <c r="D37" s="16">
        <f>D71+D72+D73+D74</f>
        <v>2545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699.67624999999998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925.32375000000002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920</v>
      </c>
      <c r="AH37" s="59" t="str">
        <f t="shared" si="45"/>
        <v>Supreme Semolina</v>
      </c>
      <c r="AI37" s="1">
        <f t="shared" si="31"/>
        <v>699.67624999999998</v>
      </c>
      <c r="AJ37" s="1">
        <f t="shared" si="32"/>
        <v>0</v>
      </c>
      <c r="AK37" s="1">
        <f t="shared" si="26"/>
        <v>0</v>
      </c>
      <c r="AL37" s="1">
        <f t="shared" si="33"/>
        <v>925.32375000000002</v>
      </c>
      <c r="AM37" s="1">
        <f t="shared" si="34"/>
        <v>920</v>
      </c>
      <c r="AN37" s="1">
        <f t="shared" si="35"/>
        <v>2545</v>
      </c>
      <c r="AP37" s="7">
        <f t="shared" si="36"/>
        <v>897.02083333333326</v>
      </c>
      <c r="AQ37" s="7">
        <f t="shared" si="36"/>
        <v>0</v>
      </c>
      <c r="AR37" s="7">
        <f t="shared" si="36"/>
        <v>0</v>
      </c>
      <c r="AS37" s="7">
        <f t="shared" si="36"/>
        <v>1186.3125</v>
      </c>
      <c r="AT37" s="7">
        <f t="shared" si="36"/>
        <v>1179.4871794871794</v>
      </c>
      <c r="AU37" s="7">
        <f t="shared" si="37"/>
        <v>3262.8205128205127</v>
      </c>
      <c r="AW37" s="46">
        <v>0.45</v>
      </c>
      <c r="AX37" s="46">
        <v>0.3</v>
      </c>
      <c r="AY37" s="72"/>
      <c r="AZ37" s="75">
        <v>0.35</v>
      </c>
      <c r="BA37" s="75">
        <v>0.3</v>
      </c>
      <c r="BC37" s="7">
        <f t="shared" si="38"/>
        <v>403.65937499999995</v>
      </c>
      <c r="BD37" s="7">
        <f t="shared" si="38"/>
        <v>0</v>
      </c>
      <c r="BE37" s="7">
        <f t="shared" si="38"/>
        <v>0</v>
      </c>
      <c r="BF37" s="7">
        <f t="shared" si="38"/>
        <v>415.20937499999997</v>
      </c>
      <c r="BG37" s="7">
        <f t="shared" si="38"/>
        <v>353.84615384615381</v>
      </c>
      <c r="BI37" s="46">
        <v>0.55000000000000004</v>
      </c>
      <c r="BJ37" s="46">
        <v>0.7</v>
      </c>
      <c r="BK37" s="72"/>
      <c r="BL37" s="46">
        <v>0.65</v>
      </c>
      <c r="BM37" s="46">
        <v>0.7</v>
      </c>
      <c r="BO37" s="7">
        <f t="shared" si="46"/>
        <v>493.36145833333336</v>
      </c>
      <c r="BP37" s="7">
        <f t="shared" si="39"/>
        <v>0</v>
      </c>
      <c r="BQ37" s="7">
        <f t="shared" si="39"/>
        <v>0</v>
      </c>
      <c r="BR37" s="7">
        <f t="shared" si="39"/>
        <v>771.10312499999998</v>
      </c>
      <c r="BS37" s="7">
        <f t="shared" si="39"/>
        <v>825.64102564102552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1187</v>
      </c>
      <c r="D38" s="16">
        <f>D55+D56+D57+D58+D89+D90</f>
        <v>1187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1187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1187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1187</v>
      </c>
      <c r="AP38" s="7">
        <f t="shared" si="36"/>
        <v>1521.7948717948718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1521.7948717948718</v>
      </c>
      <c r="AW38" s="46">
        <v>0.45</v>
      </c>
      <c r="AX38" s="72"/>
      <c r="AY38" s="72"/>
      <c r="AZ38" s="72"/>
      <c r="BA38" s="72"/>
      <c r="BC38" s="7">
        <f t="shared" si="38"/>
        <v>684.80769230769238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0.55000000000000004</v>
      </c>
      <c r="BJ38" s="72"/>
      <c r="BK38" s="72"/>
      <c r="BL38" s="72"/>
      <c r="BM38" s="72"/>
      <c r="BO38" s="7">
        <f t="shared" si="46"/>
        <v>836.98717948717956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360</v>
      </c>
      <c r="D39" s="16">
        <f>D77+D78+D79+D80</f>
        <v>360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360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 t="shared" ref="V39:Y39" si="85">V77+V78+V79+V80</f>
        <v>0</v>
      </c>
      <c r="W39" s="16">
        <f t="shared" si="85"/>
        <v>0</v>
      </c>
      <c r="X39" s="16">
        <f t="shared" si="85"/>
        <v>0</v>
      </c>
      <c r="Y39" s="16">
        <f t="shared" si="85"/>
        <v>0</v>
      </c>
      <c r="AA39" s="16">
        <f t="shared" ref="AA39:AD39" si="86">AA77+AA78+AA79+AA80</f>
        <v>0</v>
      </c>
      <c r="AB39" s="16">
        <f t="shared" si="86"/>
        <v>0</v>
      </c>
      <c r="AC39" s="16">
        <f t="shared" si="86"/>
        <v>0</v>
      </c>
      <c r="AD39" s="16">
        <f t="shared" si="86"/>
        <v>0</v>
      </c>
      <c r="AH39" s="59" t="str">
        <f t="shared" si="45"/>
        <v>Tuwovita</v>
      </c>
      <c r="AI39" s="1">
        <f t="shared" si="31"/>
        <v>360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360</v>
      </c>
      <c r="AP39" s="7">
        <f t="shared" si="36"/>
        <v>461.53846153846155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461.53846153846155</v>
      </c>
      <c r="AW39" s="46">
        <v>0.3</v>
      </c>
      <c r="AX39" s="46">
        <v>0.25</v>
      </c>
      <c r="AY39" s="72"/>
      <c r="AZ39" s="46">
        <v>0.3</v>
      </c>
      <c r="BA39" s="46">
        <v>0.3</v>
      </c>
      <c r="BC39" s="7">
        <f t="shared" si="38"/>
        <v>138.46153846153845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</v>
      </c>
      <c r="BJ39" s="46">
        <v>0.75</v>
      </c>
      <c r="BK39" s="72"/>
      <c r="BL39" s="46">
        <v>0.7</v>
      </c>
      <c r="BM39" s="46">
        <v>0.7</v>
      </c>
      <c r="BO39" s="7">
        <f t="shared" si="46"/>
        <v>323.07692307692304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100055.5</v>
      </c>
      <c r="D40" s="33">
        <f>SUM(D27:D39)</f>
        <v>100055.5</v>
      </c>
      <c r="E40" s="8"/>
      <c r="F40" s="47">
        <f>SUM(F95:F110)/F17</f>
        <v>0.89558913088324854</v>
      </c>
      <c r="G40" s="47">
        <f>SUM(G95:G110)/G17</f>
        <v>0.89320089320089324</v>
      </c>
      <c r="H40" s="47">
        <f>SUM(H95:H110)/H17</f>
        <v>0.82390082390082386</v>
      </c>
      <c r="I40" s="47">
        <f>SUM(I95:I110)/I17</f>
        <v>0.82133415466748805</v>
      </c>
      <c r="J40" s="47">
        <f>(J96+J104)/J23</f>
        <v>0.71740353839119264</v>
      </c>
      <c r="K40" s="47">
        <f>K93/K17</f>
        <v>0.81081916340424187</v>
      </c>
      <c r="L40" s="8"/>
      <c r="M40" s="47">
        <f>SUM(M95:M110)/M17</f>
        <v>0.33366700033366697</v>
      </c>
      <c r="N40" s="47">
        <f>SUM(N95:N110)/N17</f>
        <v>0.75859713193046518</v>
      </c>
      <c r="O40" s="47">
        <f>SUM(O95:O110)/O17</f>
        <v>0.92009548009548003</v>
      </c>
      <c r="P40" s="48">
        <f>P93/P17</f>
        <v>0.70627280451841856</v>
      </c>
      <c r="Q40" s="8"/>
      <c r="R40" s="47">
        <f>SUM(R95:R110)/R17</f>
        <v>0.99760411899313517</v>
      </c>
      <c r="S40" s="47">
        <f t="shared" ref="S40:T40" si="87">SUM(S95:S110)/S17</f>
        <v>0.82558720639680172</v>
      </c>
      <c r="T40" s="47">
        <f t="shared" si="87"/>
        <v>0.95737435717625075</v>
      </c>
      <c r="U40" s="8"/>
      <c r="V40" s="47">
        <f>SUM(V95:V110)/V17</f>
        <v>0.94241255425465975</v>
      </c>
      <c r="W40" s="47">
        <f>SUM(W95:W110)/W17</f>
        <v>0.96621948083936415</v>
      </c>
      <c r="X40" s="47">
        <f>SUM(X95:X110)/X17</f>
        <v>0.96621948083936415</v>
      </c>
      <c r="Y40" s="47">
        <f>Y93/Y17</f>
        <v>0.95669671020548253</v>
      </c>
      <c r="Z40" s="8"/>
      <c r="AA40" s="47">
        <f>SUM(AA95:AA110)/AA17</f>
        <v>0.95733926218708809</v>
      </c>
      <c r="AB40" s="47">
        <f>SUM(AB95:AB110)/AB17</f>
        <v>0.45586297760210803</v>
      </c>
      <c r="AC40" s="47">
        <f>SUM(AC95:AC110)/AC17</f>
        <v>0.86806389035581377</v>
      </c>
      <c r="AD40" s="47">
        <f>AD93/AD17</f>
        <v>0.83321611985054045</v>
      </c>
      <c r="AE40" s="8"/>
      <c r="AF40" s="8"/>
      <c r="AG40" s="54"/>
      <c r="AH40" s="61"/>
      <c r="AI40" s="59">
        <f>SUM(AI27:AI39)</f>
        <v>26816.67625</v>
      </c>
      <c r="AJ40" s="59">
        <f t="shared" ref="AJ40:AN40" si="88">SUM(AJ27:AJ39)</f>
        <v>26141.239999999998</v>
      </c>
      <c r="AK40" s="59">
        <f t="shared" si="88"/>
        <v>8191.295000000001</v>
      </c>
      <c r="AL40" s="59">
        <f t="shared" si="88"/>
        <v>17705.083750000002</v>
      </c>
      <c r="AM40" s="59">
        <f t="shared" si="88"/>
        <v>21201.204999999998</v>
      </c>
      <c r="AN40" s="59">
        <f t="shared" si="88"/>
        <v>100055.5</v>
      </c>
      <c r="AO40" s="57"/>
      <c r="AP40" s="57">
        <f t="shared" si="36"/>
        <v>34380.354166666664</v>
      </c>
      <c r="AQ40" s="57">
        <f t="shared" si="36"/>
        <v>33514.41025641025</v>
      </c>
      <c r="AR40" s="57">
        <f t="shared" si="36"/>
        <v>10501.660256410258</v>
      </c>
      <c r="AS40" s="57">
        <f t="shared" si="36"/>
        <v>22698.82532051282</v>
      </c>
      <c r="AT40" s="57">
        <f t="shared" si="36"/>
        <v>27181.032051282047</v>
      </c>
      <c r="AU40" s="57">
        <f t="shared" si="36"/>
        <v>128276.28205128205</v>
      </c>
      <c r="AV40" s="57"/>
      <c r="AW40" s="57"/>
      <c r="AX40" s="57"/>
      <c r="AY40" s="57"/>
      <c r="AZ40" s="57"/>
      <c r="BA40" s="57"/>
      <c r="BB40" s="57"/>
      <c r="BC40" s="57">
        <f>SUM(BC27:BC39)</f>
        <v>3746.1593749999997</v>
      </c>
      <c r="BD40" s="57">
        <f t="shared" ref="BD40:BG40" si="89">SUM(BD27:BD39)</f>
        <v>17136.851282051277</v>
      </c>
      <c r="BE40" s="57">
        <f t="shared" si="89"/>
        <v>0</v>
      </c>
      <c r="BF40" s="57">
        <f t="shared" si="89"/>
        <v>7833.9350160256417</v>
      </c>
      <c r="BG40" s="57">
        <f t="shared" si="89"/>
        <v>4394.5512820512813</v>
      </c>
      <c r="BH40" s="57"/>
      <c r="BI40" s="57"/>
      <c r="BJ40" s="57"/>
      <c r="BK40" s="57"/>
      <c r="BL40" s="57"/>
      <c r="BM40" s="57"/>
      <c r="BN40" s="57"/>
      <c r="BO40" s="57">
        <f>SUM(BO27:BO39)</f>
        <v>26572.656330128204</v>
      </c>
      <c r="BP40" s="57">
        <f t="shared" ref="BP40:BS40" si="90">SUM(BP27:BP39)</f>
        <v>16377.558974358974</v>
      </c>
      <c r="BQ40" s="57">
        <f t="shared" si="90"/>
        <v>10501.660256410258</v>
      </c>
      <c r="BR40" s="57">
        <f t="shared" si="90"/>
        <v>14864.890304487179</v>
      </c>
      <c r="BS40" s="57">
        <f t="shared" si="90"/>
        <v>22786.480769230766</v>
      </c>
      <c r="BT40" s="57"/>
      <c r="BU40" s="57"/>
      <c r="BV40" s="57"/>
      <c r="BW40" s="57"/>
      <c r="BX40" s="57"/>
      <c r="BY40" s="57"/>
      <c r="BZ40" s="57"/>
      <c r="CA40" s="57">
        <f>SUM(CA27:CA39)</f>
        <v>4061.5384615384614</v>
      </c>
      <c r="CB40" s="57">
        <f t="shared" ref="CB40:CE40" si="91">SUM(CB27:CB39)</f>
        <v>0</v>
      </c>
      <c r="CC40" s="57">
        <f t="shared" si="91"/>
        <v>0</v>
      </c>
      <c r="CD40" s="57">
        <f t="shared" si="91"/>
        <v>0</v>
      </c>
      <c r="CE40" s="57">
        <f t="shared" si="91"/>
        <v>0</v>
      </c>
    </row>
    <row r="41" spans="1:83" x14ac:dyDescent="0.25">
      <c r="BC41" s="84">
        <f>SUM(BC40:BE40)</f>
        <v>20883.010657051276</v>
      </c>
      <c r="BD41" s="84"/>
      <c r="BE41" s="84"/>
      <c r="BF41" s="7">
        <f>BF40</f>
        <v>7833.9350160256417</v>
      </c>
      <c r="BG41" s="7">
        <f>BG40</f>
        <v>4394.5512820512813</v>
      </c>
      <c r="BO41" s="84">
        <f>SUM(BO40:BQ40)</f>
        <v>53451.875560897439</v>
      </c>
      <c r="BP41" s="84"/>
      <c r="BQ41" s="84"/>
      <c r="BR41" s="7">
        <f>BR40</f>
        <v>14864.890304487179</v>
      </c>
      <c r="BS41" s="7">
        <f>BS40</f>
        <v>22786.480769230766</v>
      </c>
      <c r="CA41" s="84">
        <f>SUM(CA40:CC40)</f>
        <v>4061.5384615384614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98310</v>
      </c>
      <c r="BC42" s="71">
        <f>BC41/4.33</f>
        <v>4822.8662025522581</v>
      </c>
      <c r="BD42" s="71"/>
      <c r="BE42" s="71"/>
      <c r="BF42" s="7">
        <f>BF41/4.33</f>
        <v>1809.2228674424114</v>
      </c>
      <c r="BG42" s="7">
        <f>BG41/4.33</f>
        <v>1014.9079173328594</v>
      </c>
      <c r="BO42" s="71">
        <f>BO41/4.33</f>
        <v>12344.544009445135</v>
      </c>
      <c r="BP42" s="71"/>
      <c r="BQ42" s="71"/>
      <c r="BR42" s="7">
        <f>BR41/4.33</f>
        <v>3433.0000703203646</v>
      </c>
      <c r="BS42" s="7">
        <f>BS41/4.33</f>
        <v>5262.4666903535253</v>
      </c>
      <c r="CA42" s="71">
        <f>CA41/4.33</f>
        <v>937.99964469710426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1" si="92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2"/>
        <v>120</v>
      </c>
      <c r="K46" s="7">
        <f>C46</f>
        <v>120</v>
      </c>
      <c r="P46" s="7">
        <f t="shared" ref="P46:P90" si="93">SUM(M46:O46)</f>
        <v>0</v>
      </c>
      <c r="Y46" s="7">
        <f t="shared" ref="Y46:Y92" si="94">SUM(V46:X46)</f>
        <v>0</v>
      </c>
      <c r="AD46" s="7">
        <f t="shared" ref="AD46:AD92" si="95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2"/>
        <v>0</v>
      </c>
      <c r="K47" s="7">
        <f t="shared" ref="K47:K88" si="96">SUM(F47:J47)</f>
        <v>0</v>
      </c>
      <c r="P47" s="7">
        <f t="shared" si="93"/>
        <v>0</v>
      </c>
      <c r="Y47" s="7">
        <f t="shared" si="94"/>
        <v>0</v>
      </c>
      <c r="AD47" s="7">
        <f t="shared" si="95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307.5</v>
      </c>
      <c r="D48" s="36">
        <f t="shared" si="92"/>
        <v>307.5</v>
      </c>
      <c r="K48" s="7">
        <f t="shared" si="96"/>
        <v>0</v>
      </c>
      <c r="P48" s="7">
        <f t="shared" si="93"/>
        <v>0</v>
      </c>
      <c r="T48" s="43">
        <f>T66*2.5%</f>
        <v>150.67500000000001</v>
      </c>
      <c r="Y48" s="7">
        <f t="shared" si="94"/>
        <v>0</v>
      </c>
      <c r="AD48" s="43">
        <f>AD66*2.5%</f>
        <v>156.82500000000002</v>
      </c>
    </row>
    <row r="49" spans="1:30" x14ac:dyDescent="0.25">
      <c r="A49" s="26"/>
      <c r="B49" s="29" t="s">
        <v>85</v>
      </c>
      <c r="C49" s="36">
        <v>150</v>
      </c>
      <c r="D49" s="36">
        <f t="shared" si="92"/>
        <v>150</v>
      </c>
      <c r="K49" s="7">
        <f t="shared" si="96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2"/>
        <v>500</v>
      </c>
      <c r="K50" s="7">
        <f t="shared" si="96"/>
        <v>0</v>
      </c>
      <c r="P50" s="7">
        <f t="shared" si="93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1500</v>
      </c>
      <c r="D51" s="36">
        <f t="shared" si="92"/>
        <v>1500</v>
      </c>
      <c r="K51" s="7">
        <f t="shared" si="96"/>
        <v>0</v>
      </c>
      <c r="P51" s="7">
        <f t="shared" si="93"/>
        <v>0</v>
      </c>
      <c r="Y51" s="7">
        <f t="shared" si="94"/>
        <v>0</v>
      </c>
      <c r="AD51" s="7">
        <f>C51</f>
        <v>1500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2"/>
        <v>150</v>
      </c>
      <c r="K52" s="7">
        <f t="shared" si="96"/>
        <v>0</v>
      </c>
      <c r="P52" s="7">
        <f t="shared" si="93"/>
        <v>0</v>
      </c>
      <c r="T52" s="7">
        <f>C52</f>
        <v>150</v>
      </c>
      <c r="Y52" s="7">
        <f t="shared" si="94"/>
        <v>0</v>
      </c>
    </row>
    <row r="53" spans="1:30" x14ac:dyDescent="0.25">
      <c r="A53" s="26">
        <v>100000006034</v>
      </c>
      <c r="B53" s="51" t="s">
        <v>99</v>
      </c>
      <c r="C53" s="36">
        <v>22246</v>
      </c>
      <c r="D53" s="36">
        <f t="shared" si="92"/>
        <v>22245.999999999996</v>
      </c>
      <c r="K53" s="7">
        <v>0</v>
      </c>
      <c r="P53" s="7">
        <f>C53*0.94</f>
        <v>20911.239999999998</v>
      </c>
      <c r="Y53" s="7">
        <f>C53*0.06</f>
        <v>1334.76</v>
      </c>
      <c r="AD53" s="7">
        <f t="shared" si="95"/>
        <v>0</v>
      </c>
    </row>
    <row r="54" spans="1:30" x14ac:dyDescent="0.25">
      <c r="A54" s="26">
        <v>100000029187</v>
      </c>
      <c r="B54" s="27" t="s">
        <v>31</v>
      </c>
      <c r="C54" s="45">
        <v>6500</v>
      </c>
      <c r="D54" s="36">
        <f t="shared" si="92"/>
        <v>6500</v>
      </c>
      <c r="F54" s="37"/>
      <c r="G54" s="37"/>
      <c r="H54" s="37"/>
      <c r="I54" s="37"/>
      <c r="J54" s="37"/>
      <c r="K54" s="7">
        <v>0</v>
      </c>
      <c r="P54" s="7">
        <f>C54*0.5</f>
        <v>3250</v>
      </c>
      <c r="Y54" s="7">
        <v>0</v>
      </c>
      <c r="AD54" s="7">
        <f>C54*0.5</f>
        <v>3250</v>
      </c>
    </row>
    <row r="55" spans="1:30" x14ac:dyDescent="0.25">
      <c r="A55" s="26">
        <v>100000006028</v>
      </c>
      <c r="B55" s="27" t="s">
        <v>32</v>
      </c>
      <c r="C55" s="45"/>
      <c r="D55" s="36">
        <f t="shared" si="92"/>
        <v>0</v>
      </c>
      <c r="F55" s="37"/>
      <c r="G55" s="37"/>
      <c r="H55" s="37"/>
      <c r="I55" s="37"/>
      <c r="J55" s="37"/>
      <c r="K55" s="7">
        <f>C55</f>
        <v>0</v>
      </c>
      <c r="P55" s="7">
        <f t="shared" si="93"/>
        <v>0</v>
      </c>
      <c r="Y55" s="7">
        <f t="shared" si="94"/>
        <v>0</v>
      </c>
      <c r="AD55" s="7">
        <f t="shared" si="95"/>
        <v>0</v>
      </c>
    </row>
    <row r="56" spans="1:30" x14ac:dyDescent="0.25">
      <c r="A56" s="26">
        <v>100000006029</v>
      </c>
      <c r="B56" s="27" t="s">
        <v>33</v>
      </c>
      <c r="C56" s="45"/>
      <c r="D56" s="36">
        <f t="shared" si="92"/>
        <v>0</v>
      </c>
      <c r="F56" s="38"/>
      <c r="G56" s="38"/>
      <c r="H56" s="38"/>
      <c r="I56" s="38"/>
      <c r="J56" s="38"/>
      <c r="K56" s="7">
        <f t="shared" ref="K56:K58" si="97">C56</f>
        <v>0</v>
      </c>
      <c r="P56" s="7">
        <f t="shared" si="93"/>
        <v>0</v>
      </c>
      <c r="Y56" s="7">
        <f t="shared" si="94"/>
        <v>0</v>
      </c>
      <c r="AD56" s="7">
        <f t="shared" si="95"/>
        <v>0</v>
      </c>
    </row>
    <row r="57" spans="1:30" x14ac:dyDescent="0.25">
      <c r="A57" s="26">
        <v>100000006030</v>
      </c>
      <c r="B57" s="27" t="s">
        <v>34</v>
      </c>
      <c r="C57" s="45">
        <v>60</v>
      </c>
      <c r="D57" s="36">
        <f t="shared" si="92"/>
        <v>60</v>
      </c>
      <c r="F57" s="38"/>
      <c r="G57" s="38"/>
      <c r="H57" s="38"/>
      <c r="I57" s="38"/>
      <c r="J57" s="38"/>
      <c r="K57" s="7">
        <f t="shared" si="97"/>
        <v>60</v>
      </c>
      <c r="P57" s="7">
        <f t="shared" si="93"/>
        <v>0</v>
      </c>
      <c r="Y57" s="7">
        <f t="shared" si="94"/>
        <v>0</v>
      </c>
      <c r="AD57" s="7">
        <f t="shared" si="95"/>
        <v>0</v>
      </c>
    </row>
    <row r="58" spans="1:30" x14ac:dyDescent="0.25">
      <c r="A58" s="26">
        <v>100000006031</v>
      </c>
      <c r="B58" s="27" t="s">
        <v>35</v>
      </c>
      <c r="C58" s="45">
        <v>220</v>
      </c>
      <c r="D58" s="36">
        <f t="shared" si="92"/>
        <v>220</v>
      </c>
      <c r="F58" s="38"/>
      <c r="G58" s="38"/>
      <c r="H58" s="38"/>
      <c r="I58" s="38"/>
      <c r="J58" s="38"/>
      <c r="K58" s="7">
        <f t="shared" si="97"/>
        <v>220</v>
      </c>
      <c r="P58" s="7">
        <f t="shared" si="93"/>
        <v>0</v>
      </c>
      <c r="Y58" s="7">
        <f t="shared" si="94"/>
        <v>0</v>
      </c>
      <c r="AD58" s="7">
        <f t="shared" si="95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2"/>
        <v>0</v>
      </c>
      <c r="F59" s="38"/>
      <c r="G59" s="38"/>
      <c r="H59" s="38"/>
      <c r="I59" s="38"/>
      <c r="J59" s="38"/>
      <c r="K59" s="7">
        <f t="shared" si="96"/>
        <v>0</v>
      </c>
      <c r="P59" s="7">
        <f t="shared" si="93"/>
        <v>0</v>
      </c>
      <c r="Y59" s="7">
        <f t="shared" si="94"/>
        <v>0</v>
      </c>
      <c r="AD59" s="7">
        <f t="shared" si="95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2"/>
        <v>0</v>
      </c>
      <c r="F60" s="38"/>
      <c r="G60" s="38"/>
      <c r="H60" s="38"/>
      <c r="I60" s="38"/>
      <c r="J60" s="38"/>
      <c r="K60" s="7">
        <f t="shared" si="96"/>
        <v>0</v>
      </c>
      <c r="P60" s="7">
        <f t="shared" si="93"/>
        <v>0</v>
      </c>
      <c r="Y60" s="7">
        <f t="shared" si="94"/>
        <v>0</v>
      </c>
      <c r="AD60" s="7">
        <f t="shared" si="95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2"/>
        <v>0</v>
      </c>
      <c r="F61" s="38"/>
      <c r="G61" s="38"/>
      <c r="H61" s="38"/>
      <c r="I61" s="38"/>
      <c r="J61" s="38"/>
      <c r="K61" s="7">
        <f t="shared" si="96"/>
        <v>0</v>
      </c>
      <c r="P61" s="7">
        <f t="shared" si="93"/>
        <v>0</v>
      </c>
      <c r="Y61" s="7">
        <f t="shared" si="94"/>
        <v>0</v>
      </c>
      <c r="AD61" s="7">
        <f t="shared" si="95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2"/>
        <v>0</v>
      </c>
      <c r="F62" s="38"/>
      <c r="G62" s="38"/>
      <c r="H62" s="38"/>
      <c r="I62" s="38"/>
      <c r="J62" s="38"/>
      <c r="K62" s="7">
        <f t="shared" si="96"/>
        <v>0</v>
      </c>
      <c r="P62" s="7">
        <f t="shared" si="93"/>
        <v>0</v>
      </c>
      <c r="Y62" s="7">
        <f t="shared" si="94"/>
        <v>0</v>
      </c>
      <c r="AD62" s="7">
        <f t="shared" si="95"/>
        <v>0</v>
      </c>
    </row>
    <row r="63" spans="1:30" x14ac:dyDescent="0.25">
      <c r="A63" s="26">
        <v>100000005259</v>
      </c>
      <c r="B63" s="27" t="s">
        <v>40</v>
      </c>
      <c r="C63" s="45">
        <v>7700</v>
      </c>
      <c r="D63" s="36">
        <f t="shared" si="92"/>
        <v>7700</v>
      </c>
      <c r="F63" s="38"/>
      <c r="G63" s="38"/>
      <c r="H63" s="38"/>
      <c r="I63" s="38"/>
      <c r="J63" s="38"/>
      <c r="K63" s="7">
        <f t="shared" si="96"/>
        <v>0</v>
      </c>
      <c r="P63" s="7">
        <f t="shared" si="93"/>
        <v>0</v>
      </c>
      <c r="Y63" s="7">
        <f>C63*0.85</f>
        <v>6545</v>
      </c>
      <c r="AD63" s="7">
        <f>C63*0.15</f>
        <v>1155</v>
      </c>
    </row>
    <row r="64" spans="1:30" x14ac:dyDescent="0.25">
      <c r="A64" s="26">
        <v>100000002986</v>
      </c>
      <c r="B64" s="27" t="s">
        <v>41</v>
      </c>
      <c r="C64" s="45">
        <v>21000</v>
      </c>
      <c r="D64" s="36">
        <f t="shared" si="92"/>
        <v>21000</v>
      </c>
      <c r="K64" s="7">
        <f>C64*0.25</f>
        <v>5250</v>
      </c>
      <c r="P64" s="7">
        <v>0</v>
      </c>
      <c r="Y64" s="7">
        <f>C64*0.4</f>
        <v>8400</v>
      </c>
      <c r="AD64" s="7">
        <f>C64*0.35</f>
        <v>7349.9999999999991</v>
      </c>
    </row>
    <row r="65" spans="1:32" x14ac:dyDescent="0.25">
      <c r="A65" s="26">
        <v>100000017891</v>
      </c>
      <c r="B65" s="51" t="s">
        <v>101</v>
      </c>
      <c r="C65" s="45">
        <v>14500</v>
      </c>
      <c r="D65" s="36">
        <f t="shared" si="92"/>
        <v>14500</v>
      </c>
      <c r="K65" s="7">
        <f>C65</f>
        <v>14500</v>
      </c>
      <c r="Y65" s="7">
        <v>0</v>
      </c>
      <c r="AD65" s="7">
        <f>C65*0</f>
        <v>0</v>
      </c>
    </row>
    <row r="66" spans="1:32" x14ac:dyDescent="0.25">
      <c r="A66" s="26">
        <v>100000018687</v>
      </c>
      <c r="B66" s="51" t="s">
        <v>102</v>
      </c>
      <c r="C66" s="43">
        <v>12300</v>
      </c>
      <c r="D66" s="36">
        <f t="shared" si="92"/>
        <v>12300</v>
      </c>
      <c r="K66" s="7">
        <f t="shared" si="96"/>
        <v>0</v>
      </c>
      <c r="P66" s="7">
        <f t="shared" si="93"/>
        <v>0</v>
      </c>
      <c r="T66" s="7">
        <f>C66*0.49</f>
        <v>6027</v>
      </c>
      <c r="Y66" s="7">
        <f t="shared" si="94"/>
        <v>0</v>
      </c>
      <c r="AD66" s="7">
        <f>C66*0.51</f>
        <v>6273</v>
      </c>
      <c r="AF66" s="7">
        <f>AD66*4.6%</f>
        <v>288.55799999999999</v>
      </c>
    </row>
    <row r="67" spans="1:32" x14ac:dyDescent="0.25">
      <c r="A67" s="26">
        <v>100000006037</v>
      </c>
      <c r="B67" s="27" t="s">
        <v>43</v>
      </c>
      <c r="C67" s="43">
        <v>3400</v>
      </c>
      <c r="D67" s="36">
        <f t="shared" si="92"/>
        <v>3400</v>
      </c>
      <c r="K67" s="7">
        <f>C67</f>
        <v>3400</v>
      </c>
      <c r="P67" s="7">
        <f t="shared" si="93"/>
        <v>0</v>
      </c>
      <c r="Y67" s="7">
        <f t="shared" si="94"/>
        <v>0</v>
      </c>
      <c r="AD67" s="7">
        <f t="shared" si="95"/>
        <v>0</v>
      </c>
    </row>
    <row r="68" spans="1:32" x14ac:dyDescent="0.25">
      <c r="A68" s="26">
        <v>100000002985</v>
      </c>
      <c r="B68" s="25" t="s">
        <v>131</v>
      </c>
      <c r="C68" s="43">
        <v>0</v>
      </c>
      <c r="D68" s="36">
        <f t="shared" si="92"/>
        <v>0</v>
      </c>
      <c r="K68" s="7">
        <f t="shared" ref="K68:K69" si="98">C68</f>
        <v>0</v>
      </c>
      <c r="P68" s="7">
        <f t="shared" si="93"/>
        <v>0</v>
      </c>
      <c r="Y68" s="7">
        <f t="shared" si="94"/>
        <v>0</v>
      </c>
      <c r="AD68" s="7">
        <f t="shared" si="95"/>
        <v>0</v>
      </c>
    </row>
    <row r="69" spans="1:32" x14ac:dyDescent="0.25">
      <c r="A69" s="26">
        <v>100000002988</v>
      </c>
      <c r="B69" s="25" t="s">
        <v>132</v>
      </c>
      <c r="C69" s="43">
        <v>0</v>
      </c>
      <c r="D69" s="36">
        <f t="shared" si="92"/>
        <v>0</v>
      </c>
      <c r="K69" s="7">
        <f t="shared" si="98"/>
        <v>0</v>
      </c>
      <c r="P69" s="7">
        <f t="shared" si="93"/>
        <v>0</v>
      </c>
      <c r="Y69" s="7">
        <f t="shared" si="94"/>
        <v>0</v>
      </c>
      <c r="AD69" s="7">
        <f t="shared" si="95"/>
        <v>0</v>
      </c>
    </row>
    <row r="70" spans="1:32" x14ac:dyDescent="0.25">
      <c r="A70" s="26">
        <v>100000002974</v>
      </c>
      <c r="B70" s="27" t="s">
        <v>47</v>
      </c>
      <c r="C70" s="45">
        <v>2200</v>
      </c>
      <c r="D70" s="36">
        <f t="shared" si="92"/>
        <v>2200</v>
      </c>
      <c r="K70" s="7">
        <f t="shared" si="96"/>
        <v>0</v>
      </c>
      <c r="P70" s="7">
        <f>C70*0.9</f>
        <v>1980</v>
      </c>
      <c r="Y70" s="7">
        <f t="shared" si="94"/>
        <v>0</v>
      </c>
      <c r="AD70" s="7">
        <f>C70*0.1</f>
        <v>220</v>
      </c>
    </row>
    <row r="71" spans="1:32" x14ac:dyDescent="0.25">
      <c r="A71" s="26">
        <v>100000002976</v>
      </c>
      <c r="B71" s="27" t="s">
        <v>48</v>
      </c>
      <c r="C71" s="45">
        <v>1960</v>
      </c>
      <c r="D71" s="36">
        <f t="shared" si="92"/>
        <v>1960</v>
      </c>
      <c r="K71" s="7">
        <f>C71-Y71-AD71</f>
        <v>491.26042499999994</v>
      </c>
      <c r="P71" s="7">
        <f t="shared" ref="P71:P74" si="99">SUM(M71:O71)</f>
        <v>0</v>
      </c>
      <c r="Y71" s="7">
        <f>0.05*Y17*0.74</f>
        <v>684.73957500000006</v>
      </c>
      <c r="AD71" s="7">
        <f>C71*0.4</f>
        <v>784</v>
      </c>
    </row>
    <row r="72" spans="1:32" x14ac:dyDescent="0.25">
      <c r="A72" s="26">
        <v>100000002977</v>
      </c>
      <c r="B72" s="27" t="s">
        <v>49</v>
      </c>
      <c r="C72" s="45">
        <v>340</v>
      </c>
      <c r="D72" s="36">
        <f t="shared" si="92"/>
        <v>340</v>
      </c>
      <c r="K72" s="7">
        <f t="shared" ref="K72:K74" si="100">C72-Y72-AD72</f>
        <v>83.707912499999992</v>
      </c>
      <c r="P72" s="7">
        <f t="shared" si="99"/>
        <v>0</v>
      </c>
      <c r="Y72" s="7">
        <f>0.05*Y17*0.13</f>
        <v>120.29208750000001</v>
      </c>
      <c r="AD72" s="7">
        <f>C72*0.4</f>
        <v>136</v>
      </c>
    </row>
    <row r="73" spans="1:32" x14ac:dyDescent="0.25">
      <c r="A73" s="26">
        <v>100000002978</v>
      </c>
      <c r="B73" s="27" t="s">
        <v>50</v>
      </c>
      <c r="C73" s="45">
        <v>135</v>
      </c>
      <c r="D73" s="36">
        <f t="shared" si="92"/>
        <v>135</v>
      </c>
      <c r="K73" s="7">
        <f t="shared" si="100"/>
        <v>60.974099999999993</v>
      </c>
      <c r="P73" s="7">
        <f t="shared" si="99"/>
        <v>0</v>
      </c>
      <c r="Y73" s="7">
        <f>0.05*Y17*0.08</f>
        <v>74.025900000000007</v>
      </c>
    </row>
    <row r="74" spans="1:32" x14ac:dyDescent="0.25">
      <c r="A74" s="26">
        <v>100000015941</v>
      </c>
      <c r="B74" s="27" t="s">
        <v>51</v>
      </c>
      <c r="C74" s="45">
        <v>110</v>
      </c>
      <c r="D74" s="36">
        <f t="shared" si="92"/>
        <v>110</v>
      </c>
      <c r="K74" s="7">
        <f t="shared" si="100"/>
        <v>63.733812499999999</v>
      </c>
      <c r="P74" s="7">
        <f t="shared" si="99"/>
        <v>0</v>
      </c>
      <c r="Y74" s="7">
        <f>0.05*Y17*0.05</f>
        <v>46.266187500000001</v>
      </c>
    </row>
    <row r="75" spans="1:32" x14ac:dyDescent="0.25">
      <c r="A75" s="26">
        <v>100000017899</v>
      </c>
      <c r="B75" s="27" t="s">
        <v>52</v>
      </c>
      <c r="C75" s="74">
        <f>C66*1%</f>
        <v>123</v>
      </c>
      <c r="D75" s="36">
        <f t="shared" si="92"/>
        <v>123</v>
      </c>
      <c r="K75" s="7">
        <f t="shared" si="96"/>
        <v>0</v>
      </c>
      <c r="P75" s="7">
        <f t="shared" si="93"/>
        <v>0</v>
      </c>
      <c r="T75" s="74">
        <f>T66*1%</f>
        <v>60.27</v>
      </c>
      <c r="Y75" s="7">
        <f t="shared" si="94"/>
        <v>0</v>
      </c>
      <c r="AD75" s="74">
        <f>AD66*1%</f>
        <v>62.730000000000004</v>
      </c>
    </row>
    <row r="76" spans="1:32" x14ac:dyDescent="0.25">
      <c r="A76" s="26">
        <v>100000017897</v>
      </c>
      <c r="B76" s="27" t="s">
        <v>53</v>
      </c>
      <c r="C76" s="43">
        <f>C66*5%</f>
        <v>615</v>
      </c>
      <c r="D76" s="36">
        <f t="shared" si="92"/>
        <v>615</v>
      </c>
      <c r="K76" s="7">
        <f t="shared" si="96"/>
        <v>0</v>
      </c>
      <c r="P76" s="7">
        <f t="shared" si="93"/>
        <v>0</v>
      </c>
      <c r="T76" s="43">
        <f>T66*5%</f>
        <v>301.35000000000002</v>
      </c>
      <c r="Y76" s="7">
        <f t="shared" si="94"/>
        <v>0</v>
      </c>
      <c r="AD76" s="43">
        <f>AD66*5%</f>
        <v>313.65000000000003</v>
      </c>
    </row>
    <row r="77" spans="1:32" x14ac:dyDescent="0.25">
      <c r="A77" s="26"/>
      <c r="B77" s="27" t="s">
        <v>121</v>
      </c>
      <c r="C77" s="36">
        <v>200</v>
      </c>
      <c r="D77" s="36">
        <f t="shared" si="92"/>
        <v>200</v>
      </c>
      <c r="K77" s="7">
        <f>C77</f>
        <v>200</v>
      </c>
    </row>
    <row r="78" spans="1:32" x14ac:dyDescent="0.25">
      <c r="A78" s="26"/>
      <c r="B78" s="27" t="s">
        <v>122</v>
      </c>
      <c r="C78" s="36">
        <v>100</v>
      </c>
      <c r="D78" s="36">
        <f t="shared" si="92"/>
        <v>100</v>
      </c>
      <c r="K78" s="7">
        <f t="shared" ref="K78:K80" si="101">C78</f>
        <v>100</v>
      </c>
    </row>
    <row r="79" spans="1:32" x14ac:dyDescent="0.25">
      <c r="A79" s="26"/>
      <c r="B79" s="27" t="s">
        <v>127</v>
      </c>
      <c r="C79" s="36">
        <v>30</v>
      </c>
      <c r="D79" s="36">
        <f t="shared" si="92"/>
        <v>30</v>
      </c>
      <c r="K79" s="7">
        <f t="shared" si="101"/>
        <v>30</v>
      </c>
    </row>
    <row r="80" spans="1:32" x14ac:dyDescent="0.25">
      <c r="A80" s="26"/>
      <c r="B80" s="27" t="s">
        <v>128</v>
      </c>
      <c r="C80" s="36">
        <v>30</v>
      </c>
      <c r="D80" s="36">
        <f t="shared" si="92"/>
        <v>30</v>
      </c>
      <c r="K80" s="7">
        <f t="shared" si="101"/>
        <v>30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2"/>
        <v>0</v>
      </c>
      <c r="K81" s="7">
        <f t="shared" si="96"/>
        <v>0</v>
      </c>
      <c r="P81" s="7">
        <f t="shared" si="93"/>
        <v>0</v>
      </c>
      <c r="Y81" s="7">
        <f t="shared" si="94"/>
        <v>0</v>
      </c>
      <c r="AD81" s="7">
        <f t="shared" si="95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2"/>
        <v>700</v>
      </c>
      <c r="K82" s="7">
        <v>700</v>
      </c>
      <c r="P82" s="7">
        <f t="shared" si="93"/>
        <v>0</v>
      </c>
      <c r="Y82" s="7">
        <f t="shared" si="94"/>
        <v>0</v>
      </c>
      <c r="AD82" s="7">
        <f t="shared" si="95"/>
        <v>0</v>
      </c>
    </row>
    <row r="83" spans="1:32" x14ac:dyDescent="0.25">
      <c r="A83" s="26">
        <v>100000021592</v>
      </c>
      <c r="B83" s="27" t="s">
        <v>56</v>
      </c>
      <c r="C83" s="45">
        <v>352</v>
      </c>
      <c r="D83" s="36">
        <f t="shared" si="92"/>
        <v>352</v>
      </c>
      <c r="K83" s="7">
        <f t="shared" si="96"/>
        <v>0</v>
      </c>
      <c r="P83" s="7">
        <f t="shared" si="93"/>
        <v>0</v>
      </c>
      <c r="T83" s="7">
        <f>C83</f>
        <v>352</v>
      </c>
      <c r="Y83" s="7">
        <f t="shared" si="94"/>
        <v>0</v>
      </c>
    </row>
    <row r="84" spans="1:32" x14ac:dyDescent="0.25">
      <c r="A84" s="26">
        <v>100000023573</v>
      </c>
      <c r="B84" s="27" t="s">
        <v>135</v>
      </c>
      <c r="C84" s="43">
        <v>100</v>
      </c>
      <c r="D84" s="36">
        <f t="shared" si="92"/>
        <v>100</v>
      </c>
      <c r="K84" s="7">
        <f t="shared" si="96"/>
        <v>0</v>
      </c>
      <c r="P84" s="7">
        <f t="shared" si="93"/>
        <v>0</v>
      </c>
      <c r="T84" s="7">
        <f>C84</f>
        <v>100</v>
      </c>
      <c r="Y84" s="7">
        <f t="shared" si="94"/>
        <v>0</v>
      </c>
      <c r="AD84" s="7">
        <f t="shared" si="95"/>
        <v>0</v>
      </c>
    </row>
    <row r="85" spans="1:32" x14ac:dyDescent="0.25">
      <c r="A85" s="26">
        <v>100000023571</v>
      </c>
      <c r="B85" s="27" t="s">
        <v>136</v>
      </c>
      <c r="C85" s="43">
        <v>500</v>
      </c>
      <c r="D85" s="36">
        <f t="shared" si="92"/>
        <v>500</v>
      </c>
      <c r="K85" s="7">
        <f t="shared" si="96"/>
        <v>0</v>
      </c>
      <c r="P85" s="7">
        <f t="shared" si="93"/>
        <v>0</v>
      </c>
      <c r="T85" s="7">
        <f t="shared" ref="T85:T87" si="102">C85</f>
        <v>500</v>
      </c>
      <c r="Y85" s="7">
        <f t="shared" si="94"/>
        <v>0</v>
      </c>
      <c r="AD85" s="7">
        <f t="shared" si="95"/>
        <v>0</v>
      </c>
    </row>
    <row r="86" spans="1:32" x14ac:dyDescent="0.25">
      <c r="A86" s="26">
        <v>100000023572</v>
      </c>
      <c r="B86" s="27" t="s">
        <v>61</v>
      </c>
      <c r="C86" s="43">
        <v>300</v>
      </c>
      <c r="D86" s="36">
        <f t="shared" si="92"/>
        <v>300</v>
      </c>
      <c r="K86" s="7">
        <f t="shared" si="96"/>
        <v>0</v>
      </c>
      <c r="P86" s="7">
        <f t="shared" si="93"/>
        <v>0</v>
      </c>
      <c r="T86" s="7">
        <f t="shared" si="102"/>
        <v>300</v>
      </c>
      <c r="Y86" s="7">
        <f t="shared" si="94"/>
        <v>0</v>
      </c>
      <c r="AD86" s="7">
        <f t="shared" si="95"/>
        <v>0</v>
      </c>
    </row>
    <row r="87" spans="1:32" x14ac:dyDescent="0.25">
      <c r="A87" s="26">
        <v>100000023574</v>
      </c>
      <c r="B87" s="27" t="s">
        <v>138</v>
      </c>
      <c r="C87" s="43">
        <v>100</v>
      </c>
      <c r="D87" s="36">
        <f t="shared" si="92"/>
        <v>100</v>
      </c>
      <c r="K87" s="7">
        <f t="shared" si="96"/>
        <v>0</v>
      </c>
      <c r="P87" s="7">
        <f t="shared" si="93"/>
        <v>0</v>
      </c>
      <c r="T87" s="7">
        <f t="shared" si="102"/>
        <v>100</v>
      </c>
      <c r="Y87" s="7">
        <f t="shared" si="94"/>
        <v>0</v>
      </c>
      <c r="AD87" s="7">
        <f t="shared" si="95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2"/>
        <v>0</v>
      </c>
      <c r="K88" s="7">
        <f t="shared" si="96"/>
        <v>0</v>
      </c>
      <c r="P88" s="7">
        <f t="shared" si="93"/>
        <v>0</v>
      </c>
      <c r="Y88" s="7">
        <f t="shared" si="94"/>
        <v>0</v>
      </c>
      <c r="AD88" s="7">
        <f t="shared" si="95"/>
        <v>0</v>
      </c>
    </row>
    <row r="89" spans="1:32" x14ac:dyDescent="0.25">
      <c r="A89" s="26">
        <v>100000025748</v>
      </c>
      <c r="B89" s="27" t="s">
        <v>62</v>
      </c>
      <c r="C89" s="45">
        <v>526</v>
      </c>
      <c r="D89" s="36">
        <f t="shared" si="92"/>
        <v>526</v>
      </c>
      <c r="K89" s="7">
        <f>C89</f>
        <v>526</v>
      </c>
      <c r="P89" s="7">
        <f t="shared" si="93"/>
        <v>0</v>
      </c>
      <c r="Y89" s="7">
        <f t="shared" si="94"/>
        <v>0</v>
      </c>
      <c r="AD89" s="7">
        <f t="shared" si="95"/>
        <v>0</v>
      </c>
    </row>
    <row r="90" spans="1:32" x14ac:dyDescent="0.25">
      <c r="A90" s="26">
        <v>100000025749</v>
      </c>
      <c r="B90" s="28" t="s">
        <v>63</v>
      </c>
      <c r="C90" s="45">
        <v>381</v>
      </c>
      <c r="D90" s="36">
        <f t="shared" si="92"/>
        <v>381</v>
      </c>
      <c r="K90" s="7">
        <f>C90</f>
        <v>381</v>
      </c>
      <c r="P90" s="7">
        <f t="shared" si="93"/>
        <v>0</v>
      </c>
      <c r="Y90" s="7">
        <f t="shared" si="94"/>
        <v>0</v>
      </c>
      <c r="AD90" s="7">
        <f t="shared" si="95"/>
        <v>0</v>
      </c>
    </row>
    <row r="91" spans="1:32" x14ac:dyDescent="0.25">
      <c r="A91" s="26"/>
      <c r="B91" s="28" t="s">
        <v>134</v>
      </c>
      <c r="C91" s="45">
        <v>600</v>
      </c>
      <c r="D91" s="36">
        <f t="shared" si="92"/>
        <v>600</v>
      </c>
      <c r="K91" s="7">
        <f>C91</f>
        <v>600</v>
      </c>
    </row>
    <row r="92" spans="1:32" x14ac:dyDescent="0.25">
      <c r="A92" s="26">
        <v>100000025958</v>
      </c>
      <c r="B92" s="27" t="s">
        <v>133</v>
      </c>
      <c r="C92" s="36"/>
      <c r="D92" s="36">
        <f>K92+P92+T92+Y92+AD92</f>
        <v>0</v>
      </c>
      <c r="K92" s="7">
        <f t="shared" ref="K92" si="103">SUM(F92:J92)</f>
        <v>0</v>
      </c>
      <c r="P92" s="7">
        <f>C92</f>
        <v>0</v>
      </c>
      <c r="Y92" s="7">
        <f t="shared" si="94"/>
        <v>0</v>
      </c>
      <c r="AD92" s="7">
        <f t="shared" si="95"/>
        <v>0</v>
      </c>
    </row>
    <row r="93" spans="1:32" x14ac:dyDescent="0.25">
      <c r="A93" s="77" t="s">
        <v>65</v>
      </c>
      <c r="B93" s="78"/>
      <c r="C93" s="36">
        <f>SUM(C45:C92)</f>
        <v>100055.5</v>
      </c>
      <c r="D93" s="36">
        <f>K93+P93+T93+Y93+AD93</f>
        <v>100055.5</v>
      </c>
      <c r="K93" s="36">
        <f>SUM(K45:K92)</f>
        <v>26816.676249999997</v>
      </c>
      <c r="P93" s="36">
        <f>SUM(P45:P92)</f>
        <v>26141.239999999998</v>
      </c>
      <c r="S93" s="36"/>
      <c r="T93" s="36">
        <f>SUM(T45:T92)</f>
        <v>8191.295000000001</v>
      </c>
      <c r="Y93" s="36">
        <f>SUM(Y45:Y92)</f>
        <v>17705.083750000005</v>
      </c>
      <c r="AD93" s="36">
        <f>SUM(AD45:AD92)</f>
        <v>21201.204999999998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2200</v>
      </c>
      <c r="D95" s="36">
        <f t="shared" ref="D95:D111" si="104">K95+P95+R95+Y95+AD95</f>
        <v>2200</v>
      </c>
      <c r="K95" s="36">
        <f>K70+K47</f>
        <v>0</v>
      </c>
      <c r="N95" s="7">
        <f>P95</f>
        <v>1980</v>
      </c>
      <c r="P95" s="36">
        <f>P70+P47</f>
        <v>1980</v>
      </c>
      <c r="R95" s="36">
        <f>T70+T47</f>
        <v>0</v>
      </c>
      <c r="S95" s="36"/>
      <c r="T95" s="36"/>
      <c r="Y95" s="36">
        <f>Y70+Y47</f>
        <v>0</v>
      </c>
      <c r="AC95" s="7">
        <f>AD95</f>
        <v>220</v>
      </c>
      <c r="AD95" s="36">
        <f>AD70+AD47</f>
        <v>220</v>
      </c>
      <c r="AF95" s="36">
        <f>K95+P95+R95+Y95+AD95</f>
        <v>2200</v>
      </c>
    </row>
    <row r="96" spans="1:32" x14ac:dyDescent="0.25">
      <c r="A96" s="26">
        <v>100000002975</v>
      </c>
      <c r="B96" s="29" t="s">
        <v>21</v>
      </c>
      <c r="C96" s="36">
        <f>C74+C73+C72+C71</f>
        <v>2545</v>
      </c>
      <c r="D96" s="36">
        <f t="shared" si="104"/>
        <v>2545</v>
      </c>
      <c r="J96" s="7">
        <f>K96</f>
        <v>699.67624999999998</v>
      </c>
      <c r="K96" s="36">
        <f>K74+K73+K72+K71</f>
        <v>699.67624999999998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318.03375000000005</v>
      </c>
      <c r="W96" s="7">
        <f>0.06*SUM(W99:W110)</f>
        <v>303.64499999999998</v>
      </c>
      <c r="X96" s="7">
        <f>0.06*SUM(X99:X110)</f>
        <v>303.64499999999998</v>
      </c>
      <c r="Y96" s="36">
        <f>Y74+Y73+Y72+Y71</f>
        <v>925.32375000000002</v>
      </c>
      <c r="AA96" s="7">
        <f>AD96*0.5</f>
        <v>460</v>
      </c>
      <c r="AB96" s="7">
        <f>AD96*0.25</f>
        <v>230</v>
      </c>
      <c r="AC96" s="7">
        <f>AD96*0.25</f>
        <v>230</v>
      </c>
      <c r="AD96" s="36">
        <f>AD74+AD73+AD72+AD71</f>
        <v>920</v>
      </c>
      <c r="AF96" s="36">
        <f t="shared" ref="AF96:AF110" si="105">K96+P96+R96+Y96+AD96</f>
        <v>2545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4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5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4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5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21600</v>
      </c>
      <c r="D99" s="36">
        <f t="shared" si="104"/>
        <v>21600</v>
      </c>
      <c r="H99" s="7">
        <f>K99</f>
        <v>5850</v>
      </c>
      <c r="K99" s="36">
        <f>K64+K69+K91</f>
        <v>5850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3360</v>
      </c>
      <c r="W99" s="7">
        <f>Y99*0.3</f>
        <v>2520</v>
      </c>
      <c r="X99" s="7">
        <f>Y99*0.3</f>
        <v>2520</v>
      </c>
      <c r="Y99" s="36">
        <f>Y64+Y69+Y91</f>
        <v>8400</v>
      </c>
      <c r="AC99" s="7">
        <f>AD99</f>
        <v>7349.9999999999991</v>
      </c>
      <c r="AD99" s="36">
        <f>AD64+AD69+AD91</f>
        <v>7349.9999999999991</v>
      </c>
      <c r="AF99" s="36">
        <f t="shared" si="105"/>
        <v>21600</v>
      </c>
    </row>
    <row r="100" spans="1:32" x14ac:dyDescent="0.25">
      <c r="A100" s="26">
        <v>100000002989</v>
      </c>
      <c r="B100" s="29" t="s">
        <v>18</v>
      </c>
      <c r="C100" s="36">
        <f>C63</f>
        <v>7700</v>
      </c>
      <c r="D100" s="36">
        <f t="shared" si="104"/>
        <v>7700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1963.5</v>
      </c>
      <c r="W100" s="7">
        <f>Y100*0.35</f>
        <v>2290.75</v>
      </c>
      <c r="X100" s="7">
        <f>Y100*0.35</f>
        <v>2290.75</v>
      </c>
      <c r="Y100" s="36">
        <f>Y63</f>
        <v>6545</v>
      </c>
      <c r="AC100" s="7">
        <f>AD100</f>
        <v>1155</v>
      </c>
      <c r="AD100" s="36">
        <f>AD63</f>
        <v>1155</v>
      </c>
      <c r="AF100" s="36">
        <f t="shared" si="105"/>
        <v>7700</v>
      </c>
    </row>
    <row r="101" spans="1:32" x14ac:dyDescent="0.25">
      <c r="A101" s="26">
        <v>100000006036</v>
      </c>
      <c r="B101" s="29" t="s">
        <v>70</v>
      </c>
      <c r="C101" s="36">
        <f>C67+C46</f>
        <v>3520</v>
      </c>
      <c r="D101" s="36">
        <f t="shared" si="104"/>
        <v>3520</v>
      </c>
      <c r="I101" s="7">
        <f>K101</f>
        <v>3520</v>
      </c>
      <c r="K101" s="36">
        <f>K67+K46</f>
        <v>3520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5"/>
        <v>3520</v>
      </c>
    </row>
    <row r="102" spans="1:32" x14ac:dyDescent="0.25">
      <c r="A102" s="26">
        <v>100000006046</v>
      </c>
      <c r="B102" s="29" t="s">
        <v>71</v>
      </c>
      <c r="C102" s="36">
        <f>C82+C68</f>
        <v>700</v>
      </c>
      <c r="D102" s="36">
        <f t="shared" si="104"/>
        <v>700</v>
      </c>
      <c r="J102" s="7">
        <f>K102</f>
        <v>700</v>
      </c>
      <c r="K102" s="36">
        <f>K82+K68</f>
        <v>700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5"/>
        <v>700</v>
      </c>
    </row>
    <row r="103" spans="1:32" x14ac:dyDescent="0.25">
      <c r="A103" s="26">
        <v>100000006047</v>
      </c>
      <c r="B103" s="29" t="s">
        <v>72</v>
      </c>
      <c r="C103" s="36">
        <f>C53+C92</f>
        <v>22246</v>
      </c>
      <c r="D103" s="36">
        <f t="shared" si="104"/>
        <v>22245.999999999996</v>
      </c>
      <c r="H103" s="7">
        <f>K103</f>
        <v>0</v>
      </c>
      <c r="K103" s="36">
        <f>K53+K92</f>
        <v>0</v>
      </c>
      <c r="N103" s="7">
        <f>P103*0.4</f>
        <v>8364.4959999999992</v>
      </c>
      <c r="O103" s="7">
        <f>P103*0.6</f>
        <v>12546.743999999999</v>
      </c>
      <c r="P103" s="36">
        <f>P53+P92</f>
        <v>20911.239999999998</v>
      </c>
      <c r="R103" s="36">
        <f>T53</f>
        <v>0</v>
      </c>
      <c r="S103" s="36"/>
      <c r="T103" s="36"/>
      <c r="V103" s="7">
        <f>Y103</f>
        <v>1334.76</v>
      </c>
      <c r="Y103" s="36">
        <f>Y53+Y92</f>
        <v>1334.76</v>
      </c>
      <c r="AD103" s="36">
        <f>AD53+AD92</f>
        <v>0</v>
      </c>
      <c r="AF103" s="36">
        <f t="shared" si="105"/>
        <v>22245.999999999996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1187</v>
      </c>
      <c r="D104" s="36">
        <f t="shared" si="104"/>
        <v>1187</v>
      </c>
      <c r="J104" s="7">
        <f>K104</f>
        <v>1187</v>
      </c>
      <c r="K104" s="36">
        <f>K90+K89+K58+K57+K56+K55</f>
        <v>1187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5"/>
        <v>1187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4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5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4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5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14500</v>
      </c>
      <c r="D107" s="36">
        <f t="shared" si="104"/>
        <v>14500</v>
      </c>
      <c r="F107" s="7">
        <f>K107*0.25</f>
        <v>3625</v>
      </c>
      <c r="G107" s="7">
        <f>K107*0.6</f>
        <v>8700</v>
      </c>
      <c r="H107" s="7">
        <f>K107*0.15</f>
        <v>2175</v>
      </c>
      <c r="K107" s="36">
        <f>K65</f>
        <v>14500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0</v>
      </c>
      <c r="AD107" s="36">
        <f>AD65</f>
        <v>0</v>
      </c>
      <c r="AF107" s="36">
        <f t="shared" si="105"/>
        <v>14500</v>
      </c>
    </row>
    <row r="108" spans="1:32" x14ac:dyDescent="0.25">
      <c r="A108" s="26">
        <v>100000032221</v>
      </c>
      <c r="B108" s="29" t="s">
        <v>77</v>
      </c>
      <c r="C108" s="36">
        <f>C54</f>
        <v>6500</v>
      </c>
      <c r="D108" s="36">
        <f t="shared" si="104"/>
        <v>6500</v>
      </c>
      <c r="G108" s="7">
        <f>K108</f>
        <v>0</v>
      </c>
      <c r="K108" s="36">
        <f>K54</f>
        <v>0</v>
      </c>
      <c r="M108" s="7">
        <f>P108</f>
        <v>3250</v>
      </c>
      <c r="P108" s="36">
        <f>P54</f>
        <v>3250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C108" s="7">
        <f>AD108</f>
        <v>3250</v>
      </c>
      <c r="AD108" s="36">
        <f>AD54</f>
        <v>3250</v>
      </c>
      <c r="AF108" s="36">
        <f t="shared" si="105"/>
        <v>6500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16497.5</v>
      </c>
      <c r="D109" s="36">
        <f>K109+P109+T109+Y109+AD109</f>
        <v>16497.5</v>
      </c>
      <c r="K109" s="36">
        <f>K83+K66+K49+K51+K52+K48+K75+K76</f>
        <v>0</v>
      </c>
      <c r="P109" s="36">
        <f>P83+P66+P49+P51+P52+P48+P75+P76</f>
        <v>0</v>
      </c>
      <c r="R109" s="36">
        <f>T35</f>
        <v>6539.295000000001</v>
      </c>
      <c r="S109" s="36">
        <f>T36</f>
        <v>1652</v>
      </c>
      <c r="T109" s="36">
        <f>T83+T66+T49+T51+T52+T48+T75+T76+T84+T85+T86+T87</f>
        <v>8191.295000000001</v>
      </c>
      <c r="Y109" s="36">
        <f>Y83+Y66+Y49+Y51+Y52+Y48+Y75+Y76</f>
        <v>0</v>
      </c>
      <c r="AA109" s="7">
        <f>AD35</f>
        <v>6806.204999999999</v>
      </c>
      <c r="AB109" s="7">
        <f>AD36</f>
        <v>1500</v>
      </c>
      <c r="AD109" s="36">
        <f>AD83+AD66+AD49+AD51+AD52+AD48+AD75+AD76+AD84+AD85+AD86+AD87</f>
        <v>8306.2049999999999</v>
      </c>
      <c r="AF109" s="36">
        <f t="shared" si="105"/>
        <v>14845.5</v>
      </c>
    </row>
    <row r="110" spans="1:32" x14ac:dyDescent="0.25">
      <c r="B110" s="19" t="s">
        <v>84</v>
      </c>
      <c r="C110" s="16">
        <f>C50</f>
        <v>500</v>
      </c>
      <c r="D110" s="36">
        <f t="shared" si="104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5"/>
        <v>500</v>
      </c>
    </row>
    <row r="111" spans="1:32" x14ac:dyDescent="0.25">
      <c r="B111" s="16" t="s">
        <v>94</v>
      </c>
      <c r="C111" s="16">
        <f>C77+C78+C79+C80</f>
        <v>360</v>
      </c>
      <c r="D111" s="36">
        <f t="shared" si="104"/>
        <v>360</v>
      </c>
      <c r="H111" s="7">
        <f>K111</f>
        <v>360</v>
      </c>
      <c r="K111" s="16">
        <f>K77+K78+K79+K80</f>
        <v>360</v>
      </c>
      <c r="P111" s="16">
        <f>P77+P78+P79+P80</f>
        <v>0</v>
      </c>
    </row>
    <row r="112" spans="1:32" x14ac:dyDescent="0.25">
      <c r="AC112" s="7">
        <f>AC100+AC99</f>
        <v>8505</v>
      </c>
    </row>
    <row r="113" spans="22:29" x14ac:dyDescent="0.25">
      <c r="AC113" s="7">
        <f>AC112/0.8</f>
        <v>10631.25</v>
      </c>
    </row>
    <row r="114" spans="22:29" x14ac:dyDescent="0.25">
      <c r="AC114" s="7">
        <f>AC113*0.27</f>
        <v>2870.4375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CE117"/>
  <sheetViews>
    <sheetView topLeftCell="B4" zoomScaleNormal="100" workbookViewId="0">
      <pane xSplit="4" ySplit="4" topLeftCell="BT24" activePane="bottomRight" state="frozen"/>
      <selection activeCell="F45" sqref="F45"/>
      <selection pane="topRight" activeCell="F45" sqref="F45"/>
      <selection pane="bottomLeft" activeCell="F45" sqref="F45"/>
      <selection pane="bottomRight" activeCell="CB40" sqref="CB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0.38450975006866245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/>
      <c r="N8" s="5">
        <v>700</v>
      </c>
      <c r="O8" s="5">
        <v>700</v>
      </c>
      <c r="P8" s="5">
        <f>SUM(M8:O8)</f>
        <v>1400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5270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:O10" si="1">M8*M9</f>
        <v>0</v>
      </c>
      <c r="N10" s="5">
        <f t="shared" si="1"/>
        <v>546</v>
      </c>
      <c r="O10" s="5">
        <f t="shared" si="1"/>
        <v>546</v>
      </c>
      <c r="P10" s="5">
        <f>SUM(M10:O10)</f>
        <v>1092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4133.2</v>
      </c>
    </row>
    <row r="11" spans="2:34" x14ac:dyDescent="0.25">
      <c r="B11" s="19" t="s">
        <v>12</v>
      </c>
      <c r="F11" s="5">
        <v>30</v>
      </c>
      <c r="G11" s="5">
        <v>30</v>
      </c>
      <c r="H11" s="5">
        <v>30</v>
      </c>
      <c r="I11" s="5">
        <v>30</v>
      </c>
      <c r="J11" s="5">
        <v>30</v>
      </c>
      <c r="K11" s="5"/>
      <c r="L11" s="3"/>
      <c r="M11" s="5">
        <v>30</v>
      </c>
      <c r="N11" s="5">
        <v>30</v>
      </c>
      <c r="O11" s="5">
        <v>30</v>
      </c>
      <c r="P11" s="5"/>
      <c r="Q11" s="67"/>
      <c r="R11" s="5">
        <v>30</v>
      </c>
      <c r="S11" s="5">
        <v>30</v>
      </c>
      <c r="T11" s="5"/>
      <c r="U11" s="67"/>
      <c r="V11" s="5">
        <v>30</v>
      </c>
      <c r="W11" s="5">
        <v>30</v>
      </c>
      <c r="X11" s="5">
        <v>30</v>
      </c>
      <c r="Y11" s="5"/>
      <c r="Z11" s="4"/>
      <c r="AA11" s="5">
        <v>30</v>
      </c>
      <c r="AB11" s="5">
        <v>30</v>
      </c>
      <c r="AC11" s="5">
        <v>30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26.75</v>
      </c>
      <c r="G15" s="40">
        <f t="shared" ref="G15:J15" si="5">G11-G12-G14-G13</f>
        <v>26.75</v>
      </c>
      <c r="H15" s="40">
        <f t="shared" si="5"/>
        <v>26.75</v>
      </c>
      <c r="I15" s="40">
        <f t="shared" si="5"/>
        <v>26.75</v>
      </c>
      <c r="J15" s="40">
        <f t="shared" si="5"/>
        <v>26.75</v>
      </c>
      <c r="K15" s="1"/>
      <c r="M15" s="40">
        <f>M11-M12-M14-M13</f>
        <v>26.75</v>
      </c>
      <c r="N15" s="40">
        <f t="shared" ref="N15:O15" si="6">N11-N12-N14-N13</f>
        <v>26.75</v>
      </c>
      <c r="O15" s="40">
        <f t="shared" si="6"/>
        <v>26.75</v>
      </c>
      <c r="P15" s="1"/>
      <c r="R15" s="40">
        <f>R11-R12-R14-R13</f>
        <v>27.75</v>
      </c>
      <c r="S15" s="40">
        <f t="shared" ref="S15" si="7">S11-S12-S14-S13</f>
        <v>27.75</v>
      </c>
      <c r="T15" s="40"/>
      <c r="V15" s="40">
        <f t="shared" ref="V15:X15" si="8">V11-V12-V14-V13</f>
        <v>26.75</v>
      </c>
      <c r="W15" s="40">
        <f t="shared" si="8"/>
        <v>26.75</v>
      </c>
      <c r="X15" s="40">
        <f t="shared" si="8"/>
        <v>26.75</v>
      </c>
      <c r="Y15" s="1"/>
      <c r="AA15" s="40">
        <f t="shared" ref="AA15:AC15" si="9">AA11-AA12-AA14-AA13</f>
        <v>27.75</v>
      </c>
      <c r="AB15" s="40">
        <f t="shared" si="9"/>
        <v>27.75</v>
      </c>
      <c r="AC15" s="40">
        <f t="shared" si="9"/>
        <v>27.25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0</v>
      </c>
      <c r="G17" s="1">
        <f t="shared" ref="G17:J17" si="10">G16*G15*G10</f>
        <v>9389.25</v>
      </c>
      <c r="H17" s="1">
        <f t="shared" si="10"/>
        <v>9389.25</v>
      </c>
      <c r="I17" s="1">
        <f t="shared" si="10"/>
        <v>4131.2699999999995</v>
      </c>
      <c r="J17" s="1">
        <f t="shared" si="10"/>
        <v>5070.1949999999997</v>
      </c>
      <c r="K17" s="5">
        <f>SUM(F17:J17)</f>
        <v>27979.965</v>
      </c>
      <c r="M17" s="1">
        <f t="shared" ref="M17:O17" si="11">M16*M15*M10</f>
        <v>0</v>
      </c>
      <c r="N17" s="1">
        <f t="shared" si="11"/>
        <v>13144.949999999999</v>
      </c>
      <c r="O17" s="1">
        <f t="shared" si="11"/>
        <v>13144.949999999999</v>
      </c>
      <c r="P17" s="5">
        <f>SUM(M17:O17)</f>
        <v>26289.899999999998</v>
      </c>
      <c r="R17" s="1">
        <f>R16*R15*R10</f>
        <v>6010.65</v>
      </c>
      <c r="S17" s="1">
        <f t="shared" ref="S17" si="12">S16*S15*S10</f>
        <v>1834.8299999999997</v>
      </c>
      <c r="T17" s="1">
        <f>R17+S17</f>
        <v>7845.48</v>
      </c>
      <c r="V17" s="1">
        <f>V16*V15*V10</f>
        <v>7135.83</v>
      </c>
      <c r="W17" s="1">
        <f t="shared" ref="W17:X17" si="13">W16*W15*W10</f>
        <v>5351.8724999999995</v>
      </c>
      <c r="X17" s="1">
        <f t="shared" si="13"/>
        <v>5351.8724999999995</v>
      </c>
      <c r="Y17" s="5">
        <f>SUM(V17:X17)</f>
        <v>17839.574999999997</v>
      </c>
      <c r="AA17" s="70">
        <f>AA16*AA15*AA10</f>
        <v>6593.4000000000005</v>
      </c>
      <c r="AB17" s="70">
        <f>AB16*AB15*AB10</f>
        <v>3296.7000000000003</v>
      </c>
      <c r="AC17" s="1">
        <f t="shared" ref="AC17" si="14">AC16*AC15*AC10</f>
        <v>13562.325000000001</v>
      </c>
      <c r="AD17" s="5">
        <f>SUM(Z17:AC17)</f>
        <v>23452.425000000003</v>
      </c>
      <c r="AF17" s="1">
        <f>AD17+Y17+R17+P17+K17</f>
        <v>101572.515</v>
      </c>
      <c r="AI17" s="46"/>
    </row>
    <row r="19" spans="2:83" x14ac:dyDescent="0.25">
      <c r="B19" s="19" t="s">
        <v>18</v>
      </c>
      <c r="C19" s="16">
        <f>C27+C29+C30+C31+C34+C28</f>
        <v>72729</v>
      </c>
      <c r="D19" s="16">
        <f>D27+D29+D30+D31+D34+D28</f>
        <v>72729</v>
      </c>
      <c r="F19" s="1">
        <f>F17</f>
        <v>0</v>
      </c>
      <c r="G19" s="1">
        <f t="shared" ref="G19:H19" si="15">G17</f>
        <v>9389.25</v>
      </c>
      <c r="H19" s="1">
        <f t="shared" si="15"/>
        <v>9389.25</v>
      </c>
      <c r="I19" s="1"/>
      <c r="J19" s="1"/>
      <c r="K19" s="5">
        <f t="shared" ref="K19:K25" si="16">SUM(F19:J19)</f>
        <v>18778.5</v>
      </c>
      <c r="M19" s="1">
        <f>M17*0.5</f>
        <v>0</v>
      </c>
      <c r="N19" s="1">
        <f>N17*0.8</f>
        <v>10515.96</v>
      </c>
      <c r="O19" s="1">
        <f>O17</f>
        <v>13144.949999999999</v>
      </c>
      <c r="P19" s="5">
        <f t="shared" ref="P19:P25" si="17">SUM(M19:O19)</f>
        <v>23660.909999999996</v>
      </c>
      <c r="R19" s="1"/>
      <c r="S19" s="1"/>
      <c r="T19" s="1">
        <f t="shared" ref="T19:T24" si="18">R19+S19</f>
        <v>0</v>
      </c>
      <c r="V19" s="1">
        <f>V17-V23</f>
        <v>6586.92</v>
      </c>
      <c r="W19" s="1">
        <f t="shared" ref="W19:X19" si="19">W17-W23</f>
        <v>4940.1899999999996</v>
      </c>
      <c r="X19" s="1">
        <f t="shared" si="19"/>
        <v>4940.1899999999996</v>
      </c>
      <c r="Y19" s="5">
        <f t="shared" ref="Y19:Y25" si="20">SUM(V19:X19)</f>
        <v>16467.3</v>
      </c>
      <c r="AA19" s="1"/>
      <c r="AB19" s="1"/>
      <c r="AC19" s="1">
        <f>AC17*0.95</f>
        <v>12884.20875</v>
      </c>
      <c r="AD19" s="5">
        <f t="shared" ref="AD19:AD25" si="21">SUM(Z19:AC19)</f>
        <v>12884.20875</v>
      </c>
      <c r="AF19" s="1">
        <f t="shared" ref="AF19:AF25" si="22">AD19+Y19+R19+P19+K19</f>
        <v>71790.918749999997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2535.0974999999999</v>
      </c>
      <c r="K20" s="5">
        <f t="shared" si="16"/>
        <v>2535.0974999999999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2535.0974999999999</v>
      </c>
    </row>
    <row r="21" spans="2:83" x14ac:dyDescent="0.25">
      <c r="B21" s="19" t="s">
        <v>19</v>
      </c>
      <c r="C21" s="16">
        <f>C33</f>
        <v>1700</v>
      </c>
      <c r="D21" s="16">
        <f>D33</f>
        <v>1700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0</v>
      </c>
      <c r="N21" s="1">
        <f>N17*0.2</f>
        <v>2628.99</v>
      </c>
      <c r="O21" s="1"/>
      <c r="P21" s="5">
        <f t="shared" si="17"/>
        <v>2628.99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2628.99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4131.2699999999995</v>
      </c>
      <c r="J22" s="1"/>
      <c r="K22" s="5">
        <f t="shared" si="16"/>
        <v>4131.2699999999995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4131.2699999999995</v>
      </c>
    </row>
    <row r="23" spans="2:83" x14ac:dyDescent="0.25">
      <c r="B23" s="19" t="s">
        <v>21</v>
      </c>
      <c r="C23" s="16">
        <f>C37+C38+C39</f>
        <v>5276</v>
      </c>
      <c r="D23" s="16">
        <f>D37+D38+D39</f>
        <v>5276</v>
      </c>
      <c r="F23" s="1"/>
      <c r="G23" s="1"/>
      <c r="H23" s="1"/>
      <c r="I23" s="1"/>
      <c r="J23" s="1">
        <f>J17*0.5</f>
        <v>2535.0974999999999</v>
      </c>
      <c r="K23" s="5">
        <f t="shared" si="16"/>
        <v>2535.0974999999999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548.91</v>
      </c>
      <c r="W23" s="1">
        <f t="shared" ref="W23:X23" si="23">(W17/W9)*0.06</f>
        <v>411.68249999999995</v>
      </c>
      <c r="X23" s="1">
        <f t="shared" si="23"/>
        <v>411.68249999999995</v>
      </c>
      <c r="Y23" s="5">
        <f t="shared" si="20"/>
        <v>1372.2749999999999</v>
      </c>
      <c r="AA23" s="1">
        <f>AA17*0.08</f>
        <v>527.47200000000009</v>
      </c>
      <c r="AB23" s="1">
        <f>AB17*0.08</f>
        <v>263.73600000000005</v>
      </c>
      <c r="AC23" s="1">
        <f>AC17*0.05</f>
        <v>678.11625000000004</v>
      </c>
      <c r="AD23" s="5">
        <f t="shared" si="21"/>
        <v>1469.3242500000001</v>
      </c>
      <c r="AF23" s="1">
        <f t="shared" si="22"/>
        <v>5376.6967500000001</v>
      </c>
    </row>
    <row r="24" spans="2:83" x14ac:dyDescent="0.25">
      <c r="B24" s="19" t="s">
        <v>91</v>
      </c>
      <c r="C24" s="16">
        <f>C35</f>
        <v>12390.7</v>
      </c>
      <c r="D24" s="16">
        <f>D35</f>
        <v>12390.7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6010.65</v>
      </c>
      <c r="S24" s="1"/>
      <c r="T24" s="1">
        <f t="shared" si="18"/>
        <v>6010.65</v>
      </c>
      <c r="V24" s="1"/>
      <c r="W24" s="1"/>
      <c r="X24" s="1"/>
      <c r="Y24" s="5">
        <f t="shared" si="20"/>
        <v>0</v>
      </c>
      <c r="AA24" s="1">
        <f>AA17-AA23</f>
        <v>6065.9280000000008</v>
      </c>
      <c r="AB24" s="1"/>
      <c r="AC24" s="1"/>
      <c r="AD24" s="5">
        <f t="shared" si="21"/>
        <v>6065.9280000000008</v>
      </c>
      <c r="AF24" s="1">
        <f t="shared" si="22"/>
        <v>12076.578000000001</v>
      </c>
    </row>
    <row r="25" spans="2:83" x14ac:dyDescent="0.25">
      <c r="B25" s="19" t="s">
        <v>126</v>
      </c>
      <c r="C25" s="16">
        <f>C36</f>
        <v>2280</v>
      </c>
      <c r="D25" s="16">
        <f>D36</f>
        <v>2280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1834.8299999999997</v>
      </c>
      <c r="T25" s="1">
        <f>R25+S25</f>
        <v>1834.8299999999997</v>
      </c>
      <c r="V25" s="1"/>
      <c r="W25" s="1"/>
      <c r="X25" s="1"/>
      <c r="Y25" s="5">
        <f t="shared" si="20"/>
        <v>0</v>
      </c>
      <c r="AA25" s="1"/>
      <c r="AB25" s="1">
        <f>AB17-AB23</f>
        <v>3032.9640000000004</v>
      </c>
      <c r="AC25" s="1"/>
      <c r="AD25" s="5">
        <f t="shared" si="21"/>
        <v>3032.9640000000004</v>
      </c>
      <c r="AF25" s="1">
        <f t="shared" si="22"/>
        <v>3032.9640000000004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24161</v>
      </c>
      <c r="D27" s="16">
        <f>D64+D68+D69+D82+D91</f>
        <v>24161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7199.75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9272.15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7689.1</v>
      </c>
      <c r="AH27" s="59" t="str">
        <f>B27</f>
        <v>Mix and Bake</v>
      </c>
      <c r="AI27" s="1">
        <f>K27</f>
        <v>7199.75</v>
      </c>
      <c r="AJ27" s="1">
        <f>P27</f>
        <v>0</v>
      </c>
      <c r="AK27" s="1">
        <f t="shared" ref="AK27:AK39" si="26">T27</f>
        <v>0</v>
      </c>
      <c r="AL27" s="1">
        <f>Y27</f>
        <v>9272.15</v>
      </c>
      <c r="AM27" s="1">
        <f>AD27</f>
        <v>7689.1</v>
      </c>
      <c r="AN27" s="1">
        <f>SUM(AI27:AM27)</f>
        <v>24161</v>
      </c>
      <c r="AP27" s="7">
        <f>AI27/0.78</f>
        <v>9230.4487179487169</v>
      </c>
      <c r="AQ27" s="7">
        <f>AJ27/0.78</f>
        <v>0</v>
      </c>
      <c r="AR27" s="7">
        <f>AK27/0.78</f>
        <v>0</v>
      </c>
      <c r="AS27" s="7">
        <f>AL27/0.78</f>
        <v>11887.371794871793</v>
      </c>
      <c r="AT27" s="7">
        <f>AM27/0.78</f>
        <v>9857.8205128205136</v>
      </c>
      <c r="AU27" s="7">
        <f>SUM(AP27:AT27)</f>
        <v>30975.641025641024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2307.6121794871792</v>
      </c>
      <c r="BD27" s="7">
        <f>AX27*AQ27</f>
        <v>0</v>
      </c>
      <c r="BE27" s="7">
        <f>AY27*AR27</f>
        <v>0</v>
      </c>
      <c r="BF27" s="7">
        <f>AZ27*AS27</f>
        <v>2971.8429487179483</v>
      </c>
      <c r="BG27" s="7">
        <f>BA27*AT27</f>
        <v>2464.4551282051284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6922.8365384615372</v>
      </c>
      <c r="BP27" s="7">
        <f>BJ27*AQ27</f>
        <v>0</v>
      </c>
      <c r="BQ27" s="7">
        <f>BK27*AR27</f>
        <v>0</v>
      </c>
      <c r="BR27" s="7">
        <f>BL27*AS27</f>
        <v>8915.5288461538439</v>
      </c>
      <c r="BS27" s="7">
        <f>BM27*AT27</f>
        <v>7393.3653846153848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5950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1050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5950</v>
      </c>
      <c r="AM28" s="1">
        <f t="shared" ref="AM28:AM39" si="34">AD28</f>
        <v>1050</v>
      </c>
      <c r="AN28" s="1">
        <f t="shared" ref="AN28:AN39" si="35">SUM(AI28:AM28)</f>
        <v>7000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7628.2051282051279</v>
      </c>
      <c r="AT28" s="7">
        <f t="shared" si="36"/>
        <v>1346.1538461538462</v>
      </c>
      <c r="AU28" s="7">
        <f t="shared" ref="AU28:AU39" si="37">SUM(AP28:AT28)</f>
        <v>8974.3589743589746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2288.4615384615381</v>
      </c>
      <c r="BG28" s="7">
        <f t="shared" si="38"/>
        <v>403.84615384615387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5339.7435897435889</v>
      </c>
      <c r="BS28" s="7">
        <f t="shared" si="39"/>
        <v>942.30769230769226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18705</v>
      </c>
      <c r="D29" s="16">
        <f>D53+D92</f>
        <v>18705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17612.7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1092.3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17612.7</v>
      </c>
      <c r="AK29" s="1">
        <f t="shared" si="26"/>
        <v>0</v>
      </c>
      <c r="AL29" s="1">
        <f t="shared" si="33"/>
        <v>1092.3</v>
      </c>
      <c r="AM29" s="1">
        <f t="shared" si="34"/>
        <v>0</v>
      </c>
      <c r="AN29" s="1">
        <f t="shared" si="35"/>
        <v>18705</v>
      </c>
      <c r="AP29" s="7">
        <f t="shared" si="36"/>
        <v>0</v>
      </c>
      <c r="AQ29" s="7">
        <f t="shared" si="36"/>
        <v>22580.384615384617</v>
      </c>
      <c r="AR29" s="7">
        <f t="shared" si="36"/>
        <v>0</v>
      </c>
      <c r="AS29" s="7">
        <f t="shared" si="36"/>
        <v>1400.3846153846152</v>
      </c>
      <c r="AT29" s="7">
        <f t="shared" si="36"/>
        <v>0</v>
      </c>
      <c r="AU29" s="7">
        <f t="shared" si="37"/>
        <v>23980.769230769234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38"/>
        <v>0</v>
      </c>
      <c r="BD29" s="7">
        <f t="shared" si="38"/>
        <v>13548.23076923077</v>
      </c>
      <c r="BE29" s="7">
        <f t="shared" si="38"/>
        <v>0</v>
      </c>
      <c r="BF29" s="7">
        <f t="shared" si="38"/>
        <v>840.23076923076917</v>
      </c>
      <c r="BG29" s="7">
        <f t="shared" si="38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9032.1538461538476</v>
      </c>
      <c r="BQ29" s="7">
        <f t="shared" si="39"/>
        <v>0</v>
      </c>
      <c r="BR29" s="7">
        <f t="shared" si="39"/>
        <v>560.15384615384608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6250</v>
      </c>
      <c r="D30" s="16">
        <f>D54</f>
        <v>6250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6250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0</v>
      </c>
      <c r="AH30" s="59" t="str">
        <f t="shared" si="45"/>
        <v>Bakewell</v>
      </c>
      <c r="AI30" s="1">
        <f t="shared" si="31"/>
        <v>0</v>
      </c>
      <c r="AJ30" s="1">
        <f t="shared" si="32"/>
        <v>6250</v>
      </c>
      <c r="AK30" s="1">
        <f t="shared" si="26"/>
        <v>0</v>
      </c>
      <c r="AL30" s="1">
        <f t="shared" si="33"/>
        <v>0</v>
      </c>
      <c r="AM30" s="1">
        <f t="shared" si="34"/>
        <v>0</v>
      </c>
      <c r="AN30" s="1">
        <f t="shared" si="35"/>
        <v>6250</v>
      </c>
      <c r="AP30" s="7">
        <f t="shared" si="36"/>
        <v>0</v>
      </c>
      <c r="AQ30" s="7">
        <f t="shared" si="36"/>
        <v>8012.8205128205127</v>
      </c>
      <c r="AR30" s="7">
        <f t="shared" si="36"/>
        <v>0</v>
      </c>
      <c r="AS30" s="7">
        <f t="shared" si="36"/>
        <v>0</v>
      </c>
      <c r="AT30" s="7">
        <f t="shared" si="36"/>
        <v>0</v>
      </c>
      <c r="AU30" s="7">
        <f t="shared" si="37"/>
        <v>8012.8205128205127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38"/>
        <v>0</v>
      </c>
      <c r="BD30" s="7">
        <f t="shared" si="38"/>
        <v>801.28205128205127</v>
      </c>
      <c r="BE30" s="7">
        <f t="shared" si="38"/>
        <v>0</v>
      </c>
      <c r="BF30" s="7">
        <f t="shared" si="38"/>
        <v>0</v>
      </c>
      <c r="BG30" s="7">
        <f t="shared" si="38"/>
        <v>0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46"/>
        <v>0</v>
      </c>
      <c r="BP30" s="7">
        <f t="shared" si="39"/>
        <v>7211.5384615384619</v>
      </c>
      <c r="BQ30" s="7">
        <f t="shared" si="39"/>
        <v>0</v>
      </c>
      <c r="BR30" s="7">
        <f t="shared" si="39"/>
        <v>0</v>
      </c>
      <c r="BS30" s="7">
        <f t="shared" si="39"/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16113</v>
      </c>
      <c r="D31" s="16">
        <f>D65</f>
        <v>16113.000000000002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12890.400000000001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3222.6000000000004</v>
      </c>
      <c r="AH31" s="59" t="str">
        <f t="shared" si="45"/>
        <v>Bua Premium</v>
      </c>
      <c r="AI31" s="1">
        <f t="shared" si="31"/>
        <v>12890.400000000001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3222.6000000000004</v>
      </c>
      <c r="AN31" s="1">
        <f t="shared" si="35"/>
        <v>16113.000000000002</v>
      </c>
      <c r="AP31" s="7">
        <f t="shared" si="36"/>
        <v>16526.153846153848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4131.5384615384619</v>
      </c>
      <c r="AU31" s="7">
        <f t="shared" si="37"/>
        <v>20657.692307692309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46"/>
        <v>16526.153846153848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4131.5384615384619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3750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3750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3750</v>
      </c>
      <c r="AP32" s="7">
        <f t="shared" si="36"/>
        <v>4807.6923076923076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4807.6923076923076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46"/>
        <v>480.76923076923077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4326.9230769230771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1700</v>
      </c>
      <c r="D33" s="16">
        <f>D47+D70</f>
        <v>1700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1530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170</v>
      </c>
      <c r="AH33" s="59" t="str">
        <f t="shared" si="45"/>
        <v>Noodles Flour</v>
      </c>
      <c r="AI33" s="1">
        <f t="shared" si="31"/>
        <v>0</v>
      </c>
      <c r="AJ33" s="1">
        <f t="shared" si="32"/>
        <v>1530</v>
      </c>
      <c r="AK33" s="1">
        <f t="shared" si="26"/>
        <v>0</v>
      </c>
      <c r="AL33" s="1">
        <f t="shared" si="33"/>
        <v>0</v>
      </c>
      <c r="AM33" s="1">
        <f t="shared" si="34"/>
        <v>170</v>
      </c>
      <c r="AN33" s="1">
        <f t="shared" si="35"/>
        <v>1700</v>
      </c>
      <c r="AP33" s="7">
        <f t="shared" si="36"/>
        <v>0</v>
      </c>
      <c r="AQ33" s="7">
        <f t="shared" si="36"/>
        <v>1961.5384615384614</v>
      </c>
      <c r="AR33" s="7">
        <f t="shared" si="36"/>
        <v>0</v>
      </c>
      <c r="AS33" s="7">
        <f t="shared" si="36"/>
        <v>0</v>
      </c>
      <c r="AT33" s="7">
        <f t="shared" si="36"/>
        <v>217.94871794871793</v>
      </c>
      <c r="AU33" s="7">
        <f t="shared" si="37"/>
        <v>2179.4871794871792</v>
      </c>
      <c r="AW33" s="46">
        <v>0.2</v>
      </c>
      <c r="AX33" s="46">
        <v>0.2</v>
      </c>
      <c r="AY33" s="46">
        <v>0.2</v>
      </c>
      <c r="AZ33" s="46">
        <v>0.2</v>
      </c>
      <c r="BA33" s="46">
        <v>0.2</v>
      </c>
      <c r="BC33" s="7">
        <f t="shared" si="38"/>
        <v>0</v>
      </c>
      <c r="BD33" s="7">
        <f t="shared" si="38"/>
        <v>392.30769230769232</v>
      </c>
      <c r="BE33" s="7">
        <f t="shared" si="38"/>
        <v>0</v>
      </c>
      <c r="BF33" s="7">
        <f t="shared" si="38"/>
        <v>0</v>
      </c>
      <c r="BG33" s="7">
        <f t="shared" si="38"/>
        <v>43.589743589743591</v>
      </c>
      <c r="BI33" s="46">
        <v>0.8</v>
      </c>
      <c r="BJ33" s="46">
        <v>0.8</v>
      </c>
      <c r="BK33" s="46">
        <v>0.8</v>
      </c>
      <c r="BL33" s="46">
        <v>0.8</v>
      </c>
      <c r="BM33" s="46">
        <v>0.8</v>
      </c>
      <c r="BO33" s="7">
        <f t="shared" si="46"/>
        <v>0</v>
      </c>
      <c r="BP33" s="7">
        <f t="shared" si="39"/>
        <v>1569.2307692307693</v>
      </c>
      <c r="BQ33" s="7">
        <f t="shared" si="39"/>
        <v>0</v>
      </c>
      <c r="BR33" s="7">
        <f t="shared" si="39"/>
        <v>0</v>
      </c>
      <c r="BS33" s="7">
        <f t="shared" si="39"/>
        <v>174.35897435897436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160.25641025641025</v>
      </c>
      <c r="BG34" s="7">
        <f t="shared" si="38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480.76923076923072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12390.7</v>
      </c>
      <c r="D35" s="16">
        <f>D48+D66+D75+D76</f>
        <v>12390.7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6195.35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6195.35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6195.35</v>
      </c>
      <c r="AL35" s="1">
        <f t="shared" si="33"/>
        <v>0</v>
      </c>
      <c r="AM35" s="1">
        <f t="shared" si="34"/>
        <v>6195.35</v>
      </c>
      <c r="AN35" s="1">
        <f t="shared" si="35"/>
        <v>12390.7</v>
      </c>
      <c r="AP35" s="7">
        <f t="shared" si="36"/>
        <v>0</v>
      </c>
      <c r="AQ35" s="7">
        <f t="shared" si="36"/>
        <v>0</v>
      </c>
      <c r="AR35" s="7">
        <f t="shared" si="36"/>
        <v>7942.7564102564102</v>
      </c>
      <c r="AS35" s="7">
        <f t="shared" si="36"/>
        <v>0</v>
      </c>
      <c r="AT35" s="7">
        <f t="shared" si="36"/>
        <v>7942.7564102564102</v>
      </c>
      <c r="AU35" s="7">
        <f t="shared" si="37"/>
        <v>15885.51282051282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46"/>
        <v>0</v>
      </c>
      <c r="BP35" s="7">
        <f t="shared" si="39"/>
        <v>0</v>
      </c>
      <c r="BQ35" s="7">
        <f t="shared" si="39"/>
        <v>7942.7564102564102</v>
      </c>
      <c r="BR35" s="7">
        <f t="shared" si="39"/>
        <v>0</v>
      </c>
      <c r="BS35" s="7">
        <f t="shared" si="39"/>
        <v>7942.7564102564102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2280</v>
      </c>
      <c r="D36" s="16">
        <f>D49+D51+D52+D83+D88+D84+D85+D86+D87</f>
        <v>2280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597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1683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597</v>
      </c>
      <c r="AL36" s="1">
        <f t="shared" si="33"/>
        <v>0</v>
      </c>
      <c r="AM36" s="1">
        <f t="shared" si="34"/>
        <v>1683</v>
      </c>
      <c r="AN36" s="1">
        <f t="shared" si="35"/>
        <v>2280</v>
      </c>
      <c r="AP36" s="7">
        <f t="shared" si="36"/>
        <v>0</v>
      </c>
      <c r="AQ36" s="7">
        <f t="shared" si="36"/>
        <v>0</v>
      </c>
      <c r="AR36" s="7">
        <f t="shared" si="36"/>
        <v>765.38461538461536</v>
      </c>
      <c r="AS36" s="7">
        <f t="shared" si="36"/>
        <v>0</v>
      </c>
      <c r="AT36" s="7">
        <f t="shared" si="36"/>
        <v>2157.6923076923076</v>
      </c>
      <c r="AU36" s="7">
        <f t="shared" si="37"/>
        <v>2923.0769230769229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46"/>
        <v>0</v>
      </c>
      <c r="BP36" s="7">
        <f t="shared" si="39"/>
        <v>0</v>
      </c>
      <c r="BQ36" s="7">
        <f t="shared" si="39"/>
        <v>765.38461538461536</v>
      </c>
      <c r="BR36" s="7">
        <f t="shared" si="39"/>
        <v>0</v>
      </c>
      <c r="BS36" s="7">
        <f t="shared" si="39"/>
        <v>2157.6923076923076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2775</v>
      </c>
      <c r="D37" s="16">
        <f>D71+D72+D73+D74</f>
        <v>2775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873.42124999999987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891.97874999999999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1009.6000000000001</v>
      </c>
      <c r="AH37" s="59" t="str">
        <f t="shared" si="45"/>
        <v>Supreme Semolina</v>
      </c>
      <c r="AI37" s="1">
        <f t="shared" si="31"/>
        <v>873.42124999999987</v>
      </c>
      <c r="AJ37" s="1">
        <f t="shared" si="32"/>
        <v>0</v>
      </c>
      <c r="AK37" s="1">
        <f t="shared" si="26"/>
        <v>0</v>
      </c>
      <c r="AL37" s="1">
        <f t="shared" si="33"/>
        <v>891.97874999999999</v>
      </c>
      <c r="AM37" s="1">
        <f t="shared" si="34"/>
        <v>1009.6000000000001</v>
      </c>
      <c r="AN37" s="1">
        <f t="shared" si="35"/>
        <v>2775</v>
      </c>
      <c r="AP37" s="7">
        <f t="shared" si="36"/>
        <v>1119.770833333333</v>
      </c>
      <c r="AQ37" s="7">
        <f t="shared" si="36"/>
        <v>0</v>
      </c>
      <c r="AR37" s="7">
        <f t="shared" si="36"/>
        <v>0</v>
      </c>
      <c r="AS37" s="7">
        <f t="shared" si="36"/>
        <v>1143.5625</v>
      </c>
      <c r="AT37" s="7">
        <f t="shared" si="36"/>
        <v>1294.3589743589746</v>
      </c>
      <c r="AU37" s="7">
        <f t="shared" si="37"/>
        <v>3557.6923076923076</v>
      </c>
      <c r="AW37" s="46">
        <v>0.3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38"/>
        <v>335.93124999999992</v>
      </c>
      <c r="BD37" s="7">
        <f t="shared" si="38"/>
        <v>0</v>
      </c>
      <c r="BE37" s="7">
        <f t="shared" si="38"/>
        <v>0</v>
      </c>
      <c r="BF37" s="7">
        <f t="shared" si="38"/>
        <v>285.890625</v>
      </c>
      <c r="BG37" s="7">
        <f t="shared" si="38"/>
        <v>323.58974358974365</v>
      </c>
      <c r="BI37" s="46">
        <v>0.75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46"/>
        <v>839.82812499999977</v>
      </c>
      <c r="BP37" s="7">
        <f t="shared" si="39"/>
        <v>0</v>
      </c>
      <c r="BQ37" s="7">
        <f t="shared" si="39"/>
        <v>0</v>
      </c>
      <c r="BR37" s="7">
        <f t="shared" si="39"/>
        <v>857.671875</v>
      </c>
      <c r="BS37" s="7">
        <f t="shared" si="39"/>
        <v>970.76923076923094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1501</v>
      </c>
      <c r="D38" s="16">
        <f>D55+D56+D57+D58+D89+D90</f>
        <v>1501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1501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1501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1501</v>
      </c>
      <c r="AP38" s="7">
        <f t="shared" si="36"/>
        <v>1924.3589743589744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1924.3589743589744</v>
      </c>
      <c r="AW38" s="46">
        <v>0.3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38"/>
        <v>577.30769230769226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0.7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46"/>
        <v>1347.051282051282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1000</v>
      </c>
      <c r="D39" s="16">
        <f>D77+D78+D79+D80</f>
        <v>1000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1000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1000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1000</v>
      </c>
      <c r="AP39" s="7">
        <f t="shared" si="36"/>
        <v>1282.051282051282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1282.051282051282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38"/>
        <v>320.5128205128205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46"/>
        <v>961.53846153846143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98125.7</v>
      </c>
      <c r="D40" s="33">
        <f>SUM(D27:D39)</f>
        <v>98125.7</v>
      </c>
      <c r="E40" s="8"/>
      <c r="F40" s="47">
        <v>0</v>
      </c>
      <c r="G40" s="47">
        <f>SUM(G95:G110)/G17</f>
        <v>1.0035253081982054</v>
      </c>
      <c r="H40" s="47">
        <f>SUM(H95:H110)/H17</f>
        <v>1.0296669063024204</v>
      </c>
      <c r="I40" s="47">
        <f>SUM(I95:I110)/I17</f>
        <v>0.90771118808501994</v>
      </c>
      <c r="J40" s="47">
        <f>(J96+J104)/J23</f>
        <v>0.93661930162449369</v>
      </c>
      <c r="K40" s="47">
        <f>K93/K17</f>
        <v>0.97264493540288566</v>
      </c>
      <c r="L40" s="8"/>
      <c r="M40" s="47">
        <v>0</v>
      </c>
      <c r="N40" s="47">
        <f>SUM(N95:N110)/N17</f>
        <v>1.0114211160940134</v>
      </c>
      <c r="O40" s="47">
        <f>SUM(O95:O110)/O17</f>
        <v>0.92032453527780644</v>
      </c>
      <c r="P40" s="48">
        <f>P93/P17</f>
        <v>0.96587282568590993</v>
      </c>
      <c r="Q40" s="8"/>
      <c r="R40" s="47">
        <f>SUM(R95:R110)/R17</f>
        <v>1.03072878973156</v>
      </c>
      <c r="S40" s="47">
        <f t="shared" ref="S40:T40" si="85">SUM(S95:S110)/S17</f>
        <v>0.32537074279361033</v>
      </c>
      <c r="T40" s="47">
        <f t="shared" si="85"/>
        <v>0.86576602068962005</v>
      </c>
      <c r="U40" s="8"/>
      <c r="V40" s="47">
        <f>SUM(V95:V110)/V17</f>
        <v>0.96196817328888162</v>
      </c>
      <c r="W40" s="47">
        <f>SUM(W95:W110)/W17</f>
        <v>1.0129153301017542</v>
      </c>
      <c r="X40" s="47">
        <f>SUM(X95:X110)/X17</f>
        <v>1.0129153301017542</v>
      </c>
      <c r="Y40" s="47">
        <f>Y93/Y17</f>
        <v>0.99253646737660517</v>
      </c>
      <c r="Z40" s="8"/>
      <c r="AA40" s="47">
        <f>SUM(AA95:AA110)/AA17</f>
        <v>1.0161904328570994</v>
      </c>
      <c r="AB40" s="47">
        <f>SUM(AB95:AB110)/AB17</f>
        <v>0.58707192040525369</v>
      </c>
      <c r="AC40" s="47">
        <f>SUM(AC95:AC110)/AC17</f>
        <v>0.91312514631525199</v>
      </c>
      <c r="AD40" s="47">
        <f>AD93/AD17</f>
        <v>0.89626765675617748</v>
      </c>
      <c r="AE40" s="8"/>
      <c r="AF40" s="8"/>
      <c r="AG40" s="54"/>
      <c r="AH40" s="61"/>
      <c r="AI40" s="59">
        <f>SUM(AI27:AI39)</f>
        <v>27214.571250000001</v>
      </c>
      <c r="AJ40" s="59">
        <f t="shared" ref="AJ40:AN40" si="86">SUM(AJ27:AJ39)</f>
        <v>25392.7</v>
      </c>
      <c r="AK40" s="59">
        <f t="shared" si="86"/>
        <v>6792.35</v>
      </c>
      <c r="AL40" s="59">
        <f t="shared" si="86"/>
        <v>17706.428749999995</v>
      </c>
      <c r="AM40" s="59">
        <f t="shared" si="86"/>
        <v>21019.65</v>
      </c>
      <c r="AN40" s="59">
        <f t="shared" si="86"/>
        <v>98125.7</v>
      </c>
      <c r="AO40" s="57"/>
      <c r="AP40" s="57">
        <f t="shared" si="36"/>
        <v>34890.475961538461</v>
      </c>
      <c r="AQ40" s="57">
        <f t="shared" si="36"/>
        <v>32554.74358974359</v>
      </c>
      <c r="AR40" s="57">
        <f t="shared" si="36"/>
        <v>8708.1410256410254</v>
      </c>
      <c r="AS40" s="57">
        <f t="shared" si="36"/>
        <v>22700.549679487172</v>
      </c>
      <c r="AT40" s="57">
        <f t="shared" si="36"/>
        <v>26948.26923076923</v>
      </c>
      <c r="AU40" s="57">
        <f t="shared" si="36"/>
        <v>125802.17948717948</v>
      </c>
      <c r="AV40" s="57"/>
      <c r="AW40" s="57"/>
      <c r="AX40" s="57"/>
      <c r="AY40" s="57"/>
      <c r="AZ40" s="57"/>
      <c r="BA40" s="57"/>
      <c r="BB40" s="57"/>
      <c r="BC40" s="57">
        <f>SUM(BC27:BC39)</f>
        <v>3541.363942307692</v>
      </c>
      <c r="BD40" s="57">
        <f t="shared" ref="BD40:BG40" si="87">SUM(BD27:BD39)</f>
        <v>14741.820512820512</v>
      </c>
      <c r="BE40" s="57">
        <f t="shared" si="87"/>
        <v>0</v>
      </c>
      <c r="BF40" s="57">
        <f t="shared" si="87"/>
        <v>6546.6822916666661</v>
      </c>
      <c r="BG40" s="57">
        <f t="shared" si="87"/>
        <v>3235.4807692307695</v>
      </c>
      <c r="BH40" s="57"/>
      <c r="BI40" s="57"/>
      <c r="BJ40" s="57"/>
      <c r="BK40" s="57"/>
      <c r="BL40" s="57"/>
      <c r="BM40" s="57"/>
      <c r="BN40" s="57"/>
      <c r="BO40" s="57">
        <f>SUM(BO27:BO39)</f>
        <v>27078.177483974356</v>
      </c>
      <c r="BP40" s="57">
        <f t="shared" ref="BP40:BS40" si="88">SUM(BP27:BP39)</f>
        <v>17812.923076923078</v>
      </c>
      <c r="BQ40" s="57">
        <f t="shared" si="88"/>
        <v>8708.1410256410254</v>
      </c>
      <c r="BR40" s="57">
        <f t="shared" si="88"/>
        <v>16153.86738782051</v>
      </c>
      <c r="BS40" s="57">
        <f t="shared" si="88"/>
        <v>23712.788461538461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18283.184455128205</v>
      </c>
      <c r="BD41" s="84"/>
      <c r="BE41" s="84"/>
      <c r="BF41" s="7">
        <f>BF40</f>
        <v>6546.6822916666661</v>
      </c>
      <c r="BG41" s="7">
        <f>BG40</f>
        <v>3235.4807692307695</v>
      </c>
      <c r="BO41" s="84">
        <f>SUM(BO40:BQ40)</f>
        <v>53599.241586538461</v>
      </c>
      <c r="BP41" s="84"/>
      <c r="BQ41" s="84"/>
      <c r="BR41" s="7">
        <f>BR40</f>
        <v>16153.86738782051</v>
      </c>
      <c r="BS41" s="7">
        <f>BS40</f>
        <v>23712.788461538461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96155</v>
      </c>
      <c r="BC42" s="71">
        <f>BC41/4.33</f>
        <v>4222.4444469118253</v>
      </c>
      <c r="BD42" s="71"/>
      <c r="BE42" s="71"/>
      <c r="BF42" s="7">
        <f>BF41/4.33</f>
        <v>1511.9358641262509</v>
      </c>
      <c r="BG42" s="7">
        <f>BG41/4.33</f>
        <v>747.22419612719852</v>
      </c>
      <c r="BO42" s="71">
        <f>BO41/4.33</f>
        <v>12378.577733611653</v>
      </c>
      <c r="BP42" s="71"/>
      <c r="BQ42" s="71"/>
      <c r="BR42" s="7">
        <f>BR41/4.33</f>
        <v>3730.6853089654755</v>
      </c>
      <c r="BS42" s="7">
        <f>BS41/4.33</f>
        <v>5476.3945638656951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0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285.5</v>
      </c>
      <c r="D48" s="36">
        <f t="shared" si="90"/>
        <v>285.5</v>
      </c>
      <c r="K48" s="7">
        <f t="shared" si="94"/>
        <v>0</v>
      </c>
      <c r="P48" s="7">
        <f t="shared" si="91"/>
        <v>0</v>
      </c>
      <c r="T48" s="43">
        <f>T66*2.5%</f>
        <v>142.75</v>
      </c>
      <c r="Y48" s="7">
        <f t="shared" si="92"/>
        <v>0</v>
      </c>
      <c r="AD48" s="43">
        <f>AD66*2.5%</f>
        <v>142.75</v>
      </c>
    </row>
    <row r="49" spans="1:30" x14ac:dyDescent="0.25">
      <c r="A49" s="26"/>
      <c r="B49" s="29" t="s">
        <v>85</v>
      </c>
      <c r="C49" s="36">
        <v>150</v>
      </c>
      <c r="D49" s="36">
        <f t="shared" si="90"/>
        <v>150</v>
      </c>
      <c r="K49" s="7">
        <f t="shared" si="94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0"/>
        <v>500</v>
      </c>
      <c r="K50" s="7">
        <f t="shared" si="94"/>
        <v>0</v>
      </c>
      <c r="P50" s="7">
        <f t="shared" si="91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1683</v>
      </c>
      <c r="D51" s="36">
        <f t="shared" si="90"/>
        <v>1683</v>
      </c>
      <c r="K51" s="7">
        <f t="shared" si="94"/>
        <v>0</v>
      </c>
      <c r="P51" s="7">
        <f t="shared" si="91"/>
        <v>0</v>
      </c>
      <c r="Y51" s="7">
        <f t="shared" si="92"/>
        <v>0</v>
      </c>
      <c r="AD51" s="7">
        <f>C51</f>
        <v>1683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0"/>
        <v>150</v>
      </c>
      <c r="K52" s="7">
        <f t="shared" si="94"/>
        <v>0</v>
      </c>
      <c r="P52" s="7">
        <f t="shared" si="91"/>
        <v>0</v>
      </c>
      <c r="T52" s="7">
        <f>C52</f>
        <v>150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18205</v>
      </c>
      <c r="D53" s="36">
        <f t="shared" si="90"/>
        <v>18205</v>
      </c>
      <c r="K53" s="7">
        <v>0</v>
      </c>
      <c r="P53" s="7">
        <f>C53*0.94</f>
        <v>17112.7</v>
      </c>
      <c r="Y53" s="7">
        <f>C53*0.06</f>
        <v>1092.3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6250</v>
      </c>
      <c r="D54" s="36">
        <f t="shared" si="90"/>
        <v>6250</v>
      </c>
      <c r="F54" s="37"/>
      <c r="G54" s="37"/>
      <c r="H54" s="37"/>
      <c r="I54" s="37"/>
      <c r="J54" s="37"/>
      <c r="K54" s="7">
        <v>0</v>
      </c>
      <c r="P54" s="7">
        <f>C54</f>
        <v>6250</v>
      </c>
      <c r="Y54" s="7">
        <v>0</v>
      </c>
      <c r="AD54" s="7">
        <v>0</v>
      </c>
    </row>
    <row r="55" spans="1:30" x14ac:dyDescent="0.25">
      <c r="A55" s="26">
        <v>100000006028</v>
      </c>
      <c r="B55" s="27" t="s">
        <v>32</v>
      </c>
      <c r="C55" s="45">
        <v>19</v>
      </c>
      <c r="D55" s="36">
        <f t="shared" si="90"/>
        <v>19</v>
      </c>
      <c r="F55" s="37"/>
      <c r="G55" s="37"/>
      <c r="H55" s="37"/>
      <c r="I55" s="37"/>
      <c r="J55" s="37"/>
      <c r="K55" s="7">
        <f>C55</f>
        <v>19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>
        <v>14</v>
      </c>
      <c r="D56" s="36">
        <f t="shared" si="90"/>
        <v>14</v>
      </c>
      <c r="F56" s="38"/>
      <c r="G56" s="38"/>
      <c r="H56" s="38"/>
      <c r="I56" s="38"/>
      <c r="J56" s="38"/>
      <c r="K56" s="7">
        <f t="shared" ref="K56:K58" si="95">C56</f>
        <v>14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80</v>
      </c>
      <c r="D57" s="36">
        <f t="shared" si="90"/>
        <v>80</v>
      </c>
      <c r="F57" s="38"/>
      <c r="G57" s="38"/>
      <c r="H57" s="38"/>
      <c r="I57" s="38"/>
      <c r="J57" s="38"/>
      <c r="K57" s="7">
        <f t="shared" si="95"/>
        <v>80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255</v>
      </c>
      <c r="D58" s="36">
        <f t="shared" si="90"/>
        <v>255</v>
      </c>
      <c r="F58" s="38"/>
      <c r="G58" s="38"/>
      <c r="H58" s="38"/>
      <c r="I58" s="38"/>
      <c r="J58" s="38"/>
      <c r="K58" s="7">
        <f t="shared" si="95"/>
        <v>255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90"/>
        <v>7000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22615</v>
      </c>
      <c r="D64" s="36">
        <f t="shared" si="90"/>
        <v>22615</v>
      </c>
      <c r="K64" s="7">
        <f>C64*0.25</f>
        <v>5653.75</v>
      </c>
      <c r="P64" s="7">
        <v>0</v>
      </c>
      <c r="Y64" s="7">
        <f>C64*0.41</f>
        <v>9272.15</v>
      </c>
      <c r="AD64" s="7">
        <f>C64*0.34</f>
        <v>7689.1</v>
      </c>
    </row>
    <row r="65" spans="1:32" x14ac:dyDescent="0.25">
      <c r="A65" s="26">
        <v>100000017891</v>
      </c>
      <c r="B65" s="51" t="s">
        <v>101</v>
      </c>
      <c r="C65" s="45">
        <v>16113</v>
      </c>
      <c r="D65" s="36">
        <f t="shared" si="90"/>
        <v>16113.000000000002</v>
      </c>
      <c r="K65" s="7">
        <f>C65*0.8</f>
        <v>12890.400000000001</v>
      </c>
      <c r="Y65" s="7">
        <v>0</v>
      </c>
      <c r="AD65" s="7">
        <f>C65*0.2</f>
        <v>3222.6000000000004</v>
      </c>
    </row>
    <row r="66" spans="1:32" x14ac:dyDescent="0.25">
      <c r="A66" s="26">
        <v>100000018687</v>
      </c>
      <c r="B66" s="51" t="s">
        <v>102</v>
      </c>
      <c r="C66" s="43">
        <v>11420</v>
      </c>
      <c r="D66" s="36">
        <f t="shared" si="90"/>
        <v>11420</v>
      </c>
      <c r="K66" s="7">
        <f t="shared" si="94"/>
        <v>0</v>
      </c>
      <c r="P66" s="7">
        <f t="shared" si="91"/>
        <v>0</v>
      </c>
      <c r="T66" s="7">
        <f>C66*0.5</f>
        <v>5710</v>
      </c>
      <c r="Y66" s="7">
        <f t="shared" si="92"/>
        <v>0</v>
      </c>
      <c r="AD66" s="7">
        <f>C66*0.5</f>
        <v>5710</v>
      </c>
      <c r="AF66" s="7">
        <f>AD66*4.6%</f>
        <v>262.65999999999997</v>
      </c>
    </row>
    <row r="67" spans="1:32" x14ac:dyDescent="0.25">
      <c r="A67" s="26">
        <v>100000006037</v>
      </c>
      <c r="B67" s="27" t="s">
        <v>43</v>
      </c>
      <c r="C67" s="43">
        <f>3750-C46</f>
        <v>3630</v>
      </c>
      <c r="D67" s="36">
        <f t="shared" si="90"/>
        <v>3630</v>
      </c>
      <c r="K67" s="7">
        <f>C67</f>
        <v>3630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90"/>
        <v>300</v>
      </c>
      <c r="K68" s="7">
        <f t="shared" ref="K68:K69" si="96">C68</f>
        <v>300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>
        <v>546</v>
      </c>
      <c r="D69" s="36">
        <f t="shared" si="90"/>
        <v>546</v>
      </c>
      <c r="K69" s="7">
        <f t="shared" si="96"/>
        <v>546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1700</v>
      </c>
      <c r="D70" s="36">
        <f t="shared" si="90"/>
        <v>1700</v>
      </c>
      <c r="K70" s="7">
        <f t="shared" si="94"/>
        <v>0</v>
      </c>
      <c r="P70" s="7">
        <f>C70*0.9</f>
        <v>1530</v>
      </c>
      <c r="Y70" s="7">
        <f t="shared" si="92"/>
        <v>0</v>
      </c>
      <c r="AD70" s="7">
        <f>C70*0.1</f>
        <v>170</v>
      </c>
    </row>
    <row r="71" spans="1:32" x14ac:dyDescent="0.25">
      <c r="A71" s="26">
        <v>100000002976</v>
      </c>
      <c r="B71" s="27" t="s">
        <v>48</v>
      </c>
      <c r="C71" s="45">
        <v>2152</v>
      </c>
      <c r="D71" s="36">
        <f t="shared" si="90"/>
        <v>2152</v>
      </c>
      <c r="K71" s="7">
        <f>C71-Y71-AD71</f>
        <v>631.13572499999998</v>
      </c>
      <c r="P71" s="7">
        <f t="shared" ref="P71:P74" si="97">SUM(M71:O71)</f>
        <v>0</v>
      </c>
      <c r="Y71" s="7">
        <f>0.05*Y17*0.74</f>
        <v>660.06427499999995</v>
      </c>
      <c r="AD71" s="7">
        <f>C71*0.4</f>
        <v>860.80000000000007</v>
      </c>
    </row>
    <row r="72" spans="1:32" x14ac:dyDescent="0.25">
      <c r="A72" s="26">
        <v>100000002977</v>
      </c>
      <c r="B72" s="27" t="s">
        <v>49</v>
      </c>
      <c r="C72" s="45">
        <v>372</v>
      </c>
      <c r="D72" s="36">
        <f t="shared" si="90"/>
        <v>372</v>
      </c>
      <c r="K72" s="7">
        <f t="shared" ref="K72:K74" si="98">C72-Y72-AD72</f>
        <v>107.24276249999997</v>
      </c>
      <c r="P72" s="7">
        <f t="shared" si="97"/>
        <v>0</v>
      </c>
      <c r="Y72" s="7">
        <f>0.05*Y17*0.13</f>
        <v>115.95723749999999</v>
      </c>
      <c r="AD72" s="7">
        <f>C72*0.4</f>
        <v>148.80000000000001</v>
      </c>
    </row>
    <row r="73" spans="1:32" x14ac:dyDescent="0.25">
      <c r="A73" s="26">
        <v>100000002978</v>
      </c>
      <c r="B73" s="27" t="s">
        <v>50</v>
      </c>
      <c r="C73" s="45">
        <v>132</v>
      </c>
      <c r="D73" s="36">
        <f t="shared" si="90"/>
        <v>132</v>
      </c>
      <c r="K73" s="7">
        <f t="shared" si="98"/>
        <v>60.641700000000014</v>
      </c>
      <c r="P73" s="7">
        <f t="shared" si="97"/>
        <v>0</v>
      </c>
      <c r="Y73" s="7">
        <f>0.05*Y17*0.08</f>
        <v>71.358299999999986</v>
      </c>
    </row>
    <row r="74" spans="1:32" x14ac:dyDescent="0.25">
      <c r="A74" s="26">
        <v>100000015941</v>
      </c>
      <c r="B74" s="27" t="s">
        <v>51</v>
      </c>
      <c r="C74" s="45">
        <v>119</v>
      </c>
      <c r="D74" s="36">
        <f t="shared" si="90"/>
        <v>119</v>
      </c>
      <c r="K74" s="7">
        <f t="shared" si="98"/>
        <v>74.401062499999995</v>
      </c>
      <c r="P74" s="7">
        <f t="shared" si="97"/>
        <v>0</v>
      </c>
      <c r="Y74" s="7">
        <f>0.05*Y17*0.05</f>
        <v>44.598937499999998</v>
      </c>
    </row>
    <row r="75" spans="1:32" x14ac:dyDescent="0.25">
      <c r="A75" s="26">
        <v>100000017899</v>
      </c>
      <c r="B75" s="27" t="s">
        <v>52</v>
      </c>
      <c r="C75" s="74">
        <f>C66*1%</f>
        <v>114.2</v>
      </c>
      <c r="D75" s="36">
        <f t="shared" si="90"/>
        <v>114.2</v>
      </c>
      <c r="K75" s="7">
        <f t="shared" si="94"/>
        <v>0</v>
      </c>
      <c r="P75" s="7">
        <f t="shared" si="91"/>
        <v>0</v>
      </c>
      <c r="T75" s="74">
        <f>T66*1%</f>
        <v>57.1</v>
      </c>
      <c r="Y75" s="7">
        <f t="shared" si="92"/>
        <v>0</v>
      </c>
      <c r="AD75" s="74">
        <f>AD66*1%</f>
        <v>57.1</v>
      </c>
    </row>
    <row r="76" spans="1:32" x14ac:dyDescent="0.25">
      <c r="A76" s="26">
        <v>100000017897</v>
      </c>
      <c r="B76" s="27" t="s">
        <v>53</v>
      </c>
      <c r="C76" s="43">
        <f>C66*5%</f>
        <v>571</v>
      </c>
      <c r="D76" s="36">
        <f t="shared" si="90"/>
        <v>571</v>
      </c>
      <c r="K76" s="7">
        <f t="shared" si="94"/>
        <v>0</v>
      </c>
      <c r="P76" s="7">
        <f t="shared" si="91"/>
        <v>0</v>
      </c>
      <c r="T76" s="43">
        <f>T66*5%</f>
        <v>285.5</v>
      </c>
      <c r="Y76" s="7">
        <f t="shared" si="92"/>
        <v>0</v>
      </c>
      <c r="AD76" s="43">
        <f>AD66*5%</f>
        <v>285.5</v>
      </c>
    </row>
    <row r="77" spans="1:32" x14ac:dyDescent="0.25">
      <c r="A77" s="26"/>
      <c r="B77" s="27" t="s">
        <v>121</v>
      </c>
      <c r="C77" s="36">
        <v>600</v>
      </c>
      <c r="D77" s="36">
        <f t="shared" si="90"/>
        <v>600</v>
      </c>
      <c r="K77" s="7">
        <f>C77</f>
        <v>600</v>
      </c>
    </row>
    <row r="78" spans="1:32" x14ac:dyDescent="0.25">
      <c r="A78" s="26"/>
      <c r="B78" s="27" t="s">
        <v>122</v>
      </c>
      <c r="C78" s="36">
        <v>200</v>
      </c>
      <c r="D78" s="36">
        <f t="shared" si="90"/>
        <v>200</v>
      </c>
      <c r="K78" s="7">
        <f t="shared" ref="K78:K80" si="99">C78</f>
        <v>200</v>
      </c>
    </row>
    <row r="79" spans="1:32" x14ac:dyDescent="0.25">
      <c r="A79" s="26"/>
      <c r="B79" s="27" t="s">
        <v>127</v>
      </c>
      <c r="C79" s="36">
        <v>100</v>
      </c>
      <c r="D79" s="36">
        <f t="shared" si="90"/>
        <v>100</v>
      </c>
      <c r="K79" s="7">
        <f t="shared" si="99"/>
        <v>100</v>
      </c>
    </row>
    <row r="80" spans="1:32" x14ac:dyDescent="0.25">
      <c r="A80" s="26"/>
      <c r="B80" s="27" t="s">
        <v>128</v>
      </c>
      <c r="C80" s="36">
        <v>100</v>
      </c>
      <c r="D80" s="36">
        <f t="shared" si="90"/>
        <v>100</v>
      </c>
      <c r="K80" s="7">
        <f t="shared" si="99"/>
        <v>100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297</v>
      </c>
      <c r="D83" s="36">
        <f t="shared" si="90"/>
        <v>297</v>
      </c>
      <c r="K83" s="7">
        <f t="shared" si="94"/>
        <v>0</v>
      </c>
      <c r="P83" s="7">
        <f t="shared" si="91"/>
        <v>0</v>
      </c>
      <c r="T83" s="7">
        <f>C83</f>
        <v>297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/>
      <c r="D84" s="36">
        <f t="shared" si="90"/>
        <v>0</v>
      </c>
      <c r="K84" s="7">
        <f t="shared" si="94"/>
        <v>0</v>
      </c>
      <c r="P84" s="7">
        <f t="shared" si="91"/>
        <v>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/>
      <c r="D85" s="36">
        <f t="shared" si="90"/>
        <v>0</v>
      </c>
      <c r="K85" s="7">
        <f t="shared" si="94"/>
        <v>0</v>
      </c>
      <c r="P85" s="7">
        <f t="shared" si="91"/>
        <v>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/>
      <c r="D86" s="36">
        <f t="shared" si="90"/>
        <v>0</v>
      </c>
      <c r="K86" s="7">
        <f t="shared" si="94"/>
        <v>0</v>
      </c>
      <c r="P86" s="7">
        <f t="shared" si="91"/>
        <v>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/>
      <c r="D87" s="36">
        <f t="shared" si="90"/>
        <v>0</v>
      </c>
      <c r="K87" s="7">
        <f t="shared" si="94"/>
        <v>0</v>
      </c>
      <c r="P87" s="7">
        <f t="shared" si="91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657</v>
      </c>
      <c r="D89" s="36">
        <f t="shared" si="90"/>
        <v>657</v>
      </c>
      <c r="K89" s="7">
        <f>C89</f>
        <v>657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476</v>
      </c>
      <c r="D90" s="36">
        <f t="shared" si="90"/>
        <v>476</v>
      </c>
      <c r="K90" s="7">
        <f>C90</f>
        <v>476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500</v>
      </c>
      <c r="D92" s="36">
        <f>K92+P92+T92+Y92+AD92</f>
        <v>500</v>
      </c>
      <c r="K92" s="7">
        <f t="shared" ref="K92" si="100">SUM(F92:J92)</f>
        <v>0</v>
      </c>
      <c r="P92" s="7">
        <f>C92</f>
        <v>500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98125.7</v>
      </c>
      <c r="D93" s="36">
        <f>K93+P93+T93+Y93+AD93</f>
        <v>98125.7</v>
      </c>
      <c r="K93" s="36">
        <f>SUM(K45:K92)</f>
        <v>27214.571250000001</v>
      </c>
      <c r="P93" s="36">
        <f>SUM(P45:P92)</f>
        <v>25392.7</v>
      </c>
      <c r="S93" s="36"/>
      <c r="T93" s="36">
        <f>SUM(T45:T92)</f>
        <v>6792.35</v>
      </c>
      <c r="Y93" s="36">
        <f>SUM(Y45:Y92)</f>
        <v>17706.428749999999</v>
      </c>
      <c r="AD93" s="36">
        <f>SUM(AD45:AD92)</f>
        <v>21019.649999999998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1700</v>
      </c>
      <c r="D95" s="36">
        <f t="shared" ref="D95:D110" si="101">K95+P95+R95+Y95+AD95</f>
        <v>1700</v>
      </c>
      <c r="K95" s="36">
        <f>K70+K47</f>
        <v>0</v>
      </c>
      <c r="O95" s="7">
        <f>P95</f>
        <v>1530</v>
      </c>
      <c r="P95" s="36">
        <f>P70+P47</f>
        <v>1530</v>
      </c>
      <c r="R95" s="36">
        <f>T70+T47</f>
        <v>0</v>
      </c>
      <c r="S95" s="36"/>
      <c r="T95" s="36"/>
      <c r="Y95" s="36">
        <f>Y70+Y47</f>
        <v>0</v>
      </c>
      <c r="AC95" s="7">
        <f>AD95</f>
        <v>170</v>
      </c>
      <c r="AD95" s="36">
        <f>AD70+AD47</f>
        <v>170</v>
      </c>
      <c r="AF95" s="36">
        <f>K95+P95+R95+Y95+AD95</f>
        <v>1700</v>
      </c>
    </row>
    <row r="96" spans="1:32" x14ac:dyDescent="0.25">
      <c r="A96" s="26">
        <v>100000002975</v>
      </c>
      <c r="B96" s="29" t="s">
        <v>21</v>
      </c>
      <c r="C96" s="36">
        <f>C74+C73+C72+C71</f>
        <v>2775</v>
      </c>
      <c r="D96" s="36">
        <f t="shared" si="101"/>
        <v>2775</v>
      </c>
      <c r="J96" s="7">
        <f>K96</f>
        <v>873.42124999999999</v>
      </c>
      <c r="K96" s="36">
        <f>K74+K73+K72+K71</f>
        <v>873.42124999999999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278.28134999999997</v>
      </c>
      <c r="W96" s="7">
        <f>0.06*SUM(W99:W110)</f>
        <v>306.84870000000001</v>
      </c>
      <c r="X96" s="7">
        <f>0.06*SUM(X99:X110)</f>
        <v>306.84870000000001</v>
      </c>
      <c r="Y96" s="36">
        <f>Y74+Y73+Y72+Y71</f>
        <v>891.97874999999999</v>
      </c>
      <c r="AA96" s="7">
        <f>AD96*0.5</f>
        <v>504.80000000000007</v>
      </c>
      <c r="AB96" s="7">
        <f>AD96*0.25</f>
        <v>252.40000000000003</v>
      </c>
      <c r="AC96" s="7">
        <f>AD96*0.25</f>
        <v>252.40000000000003</v>
      </c>
      <c r="AD96" s="36">
        <f>AD74+AD73+AD72+AD71</f>
        <v>1009.6000000000001</v>
      </c>
      <c r="AF96" s="36">
        <f t="shared" ref="AF96:AF110" si="102">K96+P96+R96+Y96+AD96</f>
        <v>2775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1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2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1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2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23161</v>
      </c>
      <c r="D99" s="36">
        <f t="shared" si="101"/>
        <v>23161</v>
      </c>
      <c r="G99" s="7">
        <f>K99</f>
        <v>6199.75</v>
      </c>
      <c r="K99" s="36">
        <f>K64+K69+K91</f>
        <v>6199.75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3708.86</v>
      </c>
      <c r="W99" s="7">
        <f>Y99*0.3</f>
        <v>2781.645</v>
      </c>
      <c r="X99" s="7">
        <f>Y99*0.3</f>
        <v>2781.645</v>
      </c>
      <c r="Y99" s="36">
        <f>Y64+Y69+Y91</f>
        <v>9272.15</v>
      </c>
      <c r="AC99" s="7">
        <f>AD99</f>
        <v>7689.1</v>
      </c>
      <c r="AD99" s="36">
        <f>AD64+AD69+AD91</f>
        <v>7689.1</v>
      </c>
      <c r="AF99" s="36">
        <f t="shared" si="102"/>
        <v>23161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01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02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01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2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01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2"/>
        <v>1000</v>
      </c>
    </row>
    <row r="103" spans="1:32" x14ac:dyDescent="0.25">
      <c r="A103" s="26">
        <v>100000006047</v>
      </c>
      <c r="B103" s="29" t="s">
        <v>72</v>
      </c>
      <c r="C103" s="36">
        <f>C53+C92</f>
        <v>18705</v>
      </c>
      <c r="D103" s="36">
        <f t="shared" si="101"/>
        <v>18705</v>
      </c>
      <c r="H103" s="7">
        <f>K103</f>
        <v>0</v>
      </c>
      <c r="K103" s="36">
        <f>K53+K92</f>
        <v>0</v>
      </c>
      <c r="N103" s="7">
        <f>P103*0.4</f>
        <v>7045.0800000000008</v>
      </c>
      <c r="O103" s="7">
        <f>P103*0.6</f>
        <v>10567.62</v>
      </c>
      <c r="P103" s="36">
        <f>P53+P92</f>
        <v>17612.7</v>
      </c>
      <c r="R103" s="36">
        <f>T53</f>
        <v>0</v>
      </c>
      <c r="S103" s="36"/>
      <c r="T103" s="36"/>
      <c r="V103" s="7">
        <f>Y103</f>
        <v>1092.3</v>
      </c>
      <c r="Y103" s="36">
        <f>Y53+Y92</f>
        <v>1092.3</v>
      </c>
      <c r="AD103" s="36">
        <f>AD53+AD92</f>
        <v>0</v>
      </c>
      <c r="AF103" s="36">
        <f t="shared" si="102"/>
        <v>18705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1501</v>
      </c>
      <c r="D104" s="36">
        <f t="shared" si="101"/>
        <v>1501</v>
      </c>
      <c r="J104" s="7">
        <f>K104</f>
        <v>1501</v>
      </c>
      <c r="K104" s="36">
        <f>K90+K89+K58+K57+K56+K55</f>
        <v>1501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2"/>
        <v>1501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1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2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1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2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16113</v>
      </c>
      <c r="D107" s="36">
        <f t="shared" si="101"/>
        <v>16113.000000000002</v>
      </c>
      <c r="G107" s="7">
        <f>K107*0.25</f>
        <v>3222.6000000000004</v>
      </c>
      <c r="H107" s="7">
        <f>K107*0.75</f>
        <v>9667.8000000000011</v>
      </c>
      <c r="K107" s="36">
        <f>K65</f>
        <v>12890.400000000001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3222.6000000000004</v>
      </c>
      <c r="AD107" s="36">
        <f>AD65</f>
        <v>3222.6000000000004</v>
      </c>
      <c r="AF107" s="36">
        <f t="shared" si="102"/>
        <v>16113.000000000002</v>
      </c>
    </row>
    <row r="108" spans="1:32" x14ac:dyDescent="0.25">
      <c r="A108" s="26">
        <v>100000032221</v>
      </c>
      <c r="B108" s="29" t="s">
        <v>77</v>
      </c>
      <c r="C108" s="36">
        <f>C54</f>
        <v>6250</v>
      </c>
      <c r="D108" s="36">
        <f t="shared" si="101"/>
        <v>6250</v>
      </c>
      <c r="G108" s="7">
        <f>K108</f>
        <v>0</v>
      </c>
      <c r="K108" s="36">
        <f>K54</f>
        <v>0</v>
      </c>
      <c r="N108" s="7">
        <f>P108</f>
        <v>6250</v>
      </c>
      <c r="P108" s="36">
        <f>P54</f>
        <v>6250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D108" s="36">
        <f>AD54</f>
        <v>0</v>
      </c>
      <c r="AF108" s="36">
        <f t="shared" si="102"/>
        <v>6250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14670.7</v>
      </c>
      <c r="D109" s="36">
        <f>K109+P109+T109+Y109+AD109</f>
        <v>14670.7</v>
      </c>
      <c r="K109" s="36">
        <f>K83+K66+K49+K51+K52+K48+K75+K76</f>
        <v>0</v>
      </c>
      <c r="P109" s="36">
        <f>P83+P66+P49+P51+P52+P48+P75+P76</f>
        <v>0</v>
      </c>
      <c r="R109" s="36">
        <f>T35</f>
        <v>6195.35</v>
      </c>
      <c r="S109" s="36">
        <f>T36</f>
        <v>597</v>
      </c>
      <c r="T109" s="36">
        <f>T83+T66+T49+T51+T52+T48+T75+T76+T84+T85+T86+T87</f>
        <v>6792.35</v>
      </c>
      <c r="Y109" s="36">
        <f>Y83+Y66+Y49+Y51+Y52+Y48+Y75+Y76</f>
        <v>0</v>
      </c>
      <c r="AA109" s="7">
        <f>AD35</f>
        <v>6195.35</v>
      </c>
      <c r="AB109" s="7">
        <f>AD36</f>
        <v>1683</v>
      </c>
      <c r="AD109" s="36">
        <f>AD83+AD66+AD49+AD51+AD52+AD48+AD75+AD76+AD84+AD85+AD86+AD87</f>
        <v>7878.35</v>
      </c>
      <c r="AF109" s="36">
        <f t="shared" si="102"/>
        <v>14073.7</v>
      </c>
    </row>
    <row r="110" spans="1:32" x14ac:dyDescent="0.25">
      <c r="B110" s="19" t="s">
        <v>84</v>
      </c>
      <c r="C110" s="16">
        <f>C50</f>
        <v>500</v>
      </c>
      <c r="D110" s="36">
        <f t="shared" si="101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2"/>
        <v>500</v>
      </c>
    </row>
    <row r="111" spans="1:32" x14ac:dyDescent="0.25">
      <c r="B111" s="16" t="s">
        <v>94</v>
      </c>
      <c r="C111" s="16">
        <f>C77+C78+C79+C80</f>
        <v>1000</v>
      </c>
      <c r="D111" s="36">
        <f>K111+P111+R111+Y111+AD111</f>
        <v>1000</v>
      </c>
      <c r="G111" s="7">
        <f>K111*0.5</f>
        <v>500</v>
      </c>
      <c r="H111" s="7">
        <f>K111*0.5</f>
        <v>500</v>
      </c>
      <c r="K111" s="16">
        <f>K77+K78+K79+K80</f>
        <v>1000</v>
      </c>
      <c r="P111" s="16">
        <f>P77+P78+P79+P80</f>
        <v>0</v>
      </c>
    </row>
    <row r="112" spans="1:32" x14ac:dyDescent="0.25">
      <c r="AC112" s="7">
        <f>AC100+AC99</f>
        <v>8739.1</v>
      </c>
    </row>
    <row r="113" spans="22:29" x14ac:dyDescent="0.25">
      <c r="AC113" s="7">
        <f>AC112/0.8</f>
        <v>10923.875</v>
      </c>
    </row>
    <row r="114" spans="22:29" x14ac:dyDescent="0.25">
      <c r="AC114" s="7">
        <f>AC113*0.27</f>
        <v>2949.4462500000004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3:CE117"/>
  <sheetViews>
    <sheetView topLeftCell="B4" zoomScaleNormal="100" workbookViewId="0">
      <pane xSplit="4" ySplit="4" topLeftCell="BG25" activePane="bottomRight" state="frozen"/>
      <selection activeCell="F45" sqref="F45"/>
      <selection pane="topRight" activeCell="F45" sqref="F45"/>
      <selection pane="bottomLeft" activeCell="F45" sqref="F45"/>
      <selection pane="bottomRight" activeCell="BU40" sqref="BU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0.38045545953584442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5770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:O10" si="1">M8*M9</f>
        <v>390</v>
      </c>
      <c r="N10" s="5">
        <f t="shared" si="1"/>
        <v>546</v>
      </c>
      <c r="O10" s="5">
        <f t="shared" si="1"/>
        <v>546</v>
      </c>
      <c r="P10" s="5">
        <f>SUM(M10:O10)</f>
        <v>1482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4523.2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3.5</v>
      </c>
      <c r="G12" s="39">
        <v>3.5</v>
      </c>
      <c r="H12" s="39">
        <v>3.5</v>
      </c>
      <c r="I12" s="39">
        <v>3.5</v>
      </c>
      <c r="J12" s="39">
        <v>3.5</v>
      </c>
      <c r="K12" s="5"/>
      <c r="L12" s="3"/>
      <c r="M12" s="39">
        <v>3.5</v>
      </c>
      <c r="N12" s="39">
        <v>3.5</v>
      </c>
      <c r="O12" s="39">
        <v>3.5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3.5</v>
      </c>
      <c r="W12" s="39">
        <v>3.5</v>
      </c>
      <c r="X12" s="39">
        <v>3.5</v>
      </c>
      <c r="Y12" s="5"/>
      <c r="AA12" s="39">
        <v>0</v>
      </c>
      <c r="AB12" s="39">
        <v>0</v>
      </c>
      <c r="AC12" s="39">
        <v>3.5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25.75</v>
      </c>
      <c r="G15" s="40">
        <f t="shared" ref="G15:J15" si="5">G11-G12-G14-G13</f>
        <v>25.75</v>
      </c>
      <c r="H15" s="40">
        <f t="shared" si="5"/>
        <v>25.75</v>
      </c>
      <c r="I15" s="40">
        <f t="shared" si="5"/>
        <v>25.75</v>
      </c>
      <c r="J15" s="40">
        <f t="shared" si="5"/>
        <v>25.75</v>
      </c>
      <c r="K15" s="1"/>
      <c r="M15" s="40">
        <f>M11-M12-M14-M13</f>
        <v>25.75</v>
      </c>
      <c r="N15" s="40">
        <f t="shared" ref="N15:O15" si="6">N11-N12-N14-N13</f>
        <v>25.75</v>
      </c>
      <c r="O15" s="40">
        <f t="shared" si="6"/>
        <v>25.75</v>
      </c>
      <c r="P15" s="1"/>
      <c r="R15" s="40">
        <f>R11-R12-R14-R13</f>
        <v>28.75</v>
      </c>
      <c r="S15" s="40">
        <f t="shared" ref="S15" si="7">S11-S12-S14-S13</f>
        <v>28.75</v>
      </c>
      <c r="T15" s="40"/>
      <c r="V15" s="40">
        <f t="shared" ref="V15:X15" si="8">V11-V12-V14-V13</f>
        <v>25.75</v>
      </c>
      <c r="W15" s="40">
        <f t="shared" si="8"/>
        <v>25.75</v>
      </c>
      <c r="X15" s="40">
        <f t="shared" si="8"/>
        <v>25.75</v>
      </c>
      <c r="Y15" s="1"/>
      <c r="AA15" s="40">
        <f t="shared" ref="AA15:AC15" si="9">AA11-AA12-AA14-AA13</f>
        <v>28.75</v>
      </c>
      <c r="AB15" s="40">
        <f t="shared" si="9"/>
        <v>28.75</v>
      </c>
      <c r="AC15" s="40">
        <f t="shared" si="9"/>
        <v>26.25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0</v>
      </c>
      <c r="G17" s="1">
        <f t="shared" ref="G17:J17" si="10">G16*G15*G10</f>
        <v>9038.25</v>
      </c>
      <c r="H17" s="1">
        <f t="shared" si="10"/>
        <v>9038.25</v>
      </c>
      <c r="I17" s="1">
        <f t="shared" si="10"/>
        <v>3976.83</v>
      </c>
      <c r="J17" s="1">
        <f t="shared" si="10"/>
        <v>4880.6549999999997</v>
      </c>
      <c r="K17" s="5">
        <f>SUM(F17:J17)</f>
        <v>26933.985000000001</v>
      </c>
      <c r="M17" s="1">
        <f t="shared" ref="M17:O17" si="11">M16*M15*M10</f>
        <v>9038.25</v>
      </c>
      <c r="N17" s="1">
        <f t="shared" si="11"/>
        <v>12653.550000000001</v>
      </c>
      <c r="O17" s="1">
        <f t="shared" si="11"/>
        <v>12653.550000000001</v>
      </c>
      <c r="P17" s="5">
        <f>SUM(M17:O17)</f>
        <v>34345.350000000006</v>
      </c>
      <c r="R17" s="1">
        <f>R16*R15*R10</f>
        <v>6227.25</v>
      </c>
      <c r="S17" s="1">
        <f t="shared" ref="S17" si="12">S16*S15*S10</f>
        <v>1900.9499999999998</v>
      </c>
      <c r="T17" s="1">
        <f>R17+S17</f>
        <v>8128.2</v>
      </c>
      <c r="V17" s="1">
        <f>V16*V15*V10</f>
        <v>6869.07</v>
      </c>
      <c r="W17" s="1">
        <f t="shared" ref="W17:X17" si="13">W16*W15*W10</f>
        <v>5151.8024999999998</v>
      </c>
      <c r="X17" s="1">
        <f t="shared" si="13"/>
        <v>5151.8024999999998</v>
      </c>
      <c r="Y17" s="5">
        <f>SUM(V17:X17)</f>
        <v>17172.674999999999</v>
      </c>
      <c r="AA17" s="70">
        <f>AA16*AA15*AA10</f>
        <v>6831</v>
      </c>
      <c r="AB17" s="70">
        <f>AB16*AB15*AB10</f>
        <v>3415.5</v>
      </c>
      <c r="AC17" s="1">
        <f t="shared" ref="AC17" si="14">AC16*AC15*AC10</f>
        <v>13064.625</v>
      </c>
      <c r="AD17" s="5">
        <f>SUM(Z17:AC17)</f>
        <v>23311.125</v>
      </c>
      <c r="AF17" s="1">
        <f>AD17+Y17+R17+P17+K17</f>
        <v>107990.38500000001</v>
      </c>
      <c r="AI17" s="46"/>
    </row>
    <row r="19" spans="2:83" x14ac:dyDescent="0.25">
      <c r="B19" s="19" t="s">
        <v>18</v>
      </c>
      <c r="C19" s="16">
        <f>C27+C29+C30+C31+C34+C28</f>
        <v>72418</v>
      </c>
      <c r="D19" s="16">
        <f>D27+D29+D30+D31+D34+D28</f>
        <v>72418</v>
      </c>
      <c r="F19" s="1">
        <f>F17</f>
        <v>0</v>
      </c>
      <c r="G19" s="1">
        <f t="shared" ref="G19:H19" si="15">G17</f>
        <v>9038.25</v>
      </c>
      <c r="H19" s="1">
        <f t="shared" si="15"/>
        <v>9038.25</v>
      </c>
      <c r="I19" s="1"/>
      <c r="J19" s="1"/>
      <c r="K19" s="5">
        <f t="shared" ref="K19:K25" si="16">SUM(F19:J19)</f>
        <v>18076.5</v>
      </c>
      <c r="M19" s="1">
        <f>M17*0.5</f>
        <v>4519.125</v>
      </c>
      <c r="N19" s="1">
        <f>N17*0.8</f>
        <v>10122.840000000002</v>
      </c>
      <c r="O19" s="1">
        <f>O17</f>
        <v>12653.550000000001</v>
      </c>
      <c r="P19" s="5">
        <f t="shared" ref="P19:P25" si="17">SUM(M19:O19)</f>
        <v>27295.515000000003</v>
      </c>
      <c r="R19" s="1"/>
      <c r="S19" s="1"/>
      <c r="T19" s="1">
        <f t="shared" ref="T19:T24" si="18">R19+S19</f>
        <v>0</v>
      </c>
      <c r="V19" s="1">
        <f>V17-V23</f>
        <v>6340.6799999999994</v>
      </c>
      <c r="W19" s="1">
        <f t="shared" ref="W19:X19" si="19">W17-W23</f>
        <v>4755.51</v>
      </c>
      <c r="X19" s="1">
        <f t="shared" si="19"/>
        <v>4755.51</v>
      </c>
      <c r="Y19" s="5">
        <f t="shared" ref="Y19:Y25" si="20">SUM(V19:X19)</f>
        <v>15851.699999999999</v>
      </c>
      <c r="AA19" s="1"/>
      <c r="AB19" s="1"/>
      <c r="AC19" s="1">
        <f>AC17*0.95</f>
        <v>12411.393749999999</v>
      </c>
      <c r="AD19" s="5">
        <f t="shared" ref="AD19:AD25" si="21">SUM(Z19:AC19)</f>
        <v>12411.393749999999</v>
      </c>
      <c r="AF19" s="1">
        <f t="shared" ref="AF19:AF25" si="22">AD19+Y19+R19+P19+K19</f>
        <v>73635.108749999999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2440.3274999999999</v>
      </c>
      <c r="K20" s="5">
        <f t="shared" si="16"/>
        <v>2440.3274999999999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2440.3274999999999</v>
      </c>
    </row>
    <row r="21" spans="2:83" x14ac:dyDescent="0.25">
      <c r="B21" s="19" t="s">
        <v>19</v>
      </c>
      <c r="C21" s="16">
        <f>C33</f>
        <v>1700</v>
      </c>
      <c r="D21" s="16">
        <f>D33</f>
        <v>1700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4519.125</v>
      </c>
      <c r="N21" s="1">
        <f>N17*0.2</f>
        <v>2530.7100000000005</v>
      </c>
      <c r="O21" s="1"/>
      <c r="P21" s="5">
        <f t="shared" si="17"/>
        <v>7049.8350000000009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7049.8350000000009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3976.83</v>
      </c>
      <c r="J22" s="1"/>
      <c r="K22" s="5">
        <f t="shared" si="16"/>
        <v>3976.83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3976.83</v>
      </c>
    </row>
    <row r="23" spans="2:83" x14ac:dyDescent="0.25">
      <c r="B23" s="19" t="s">
        <v>21</v>
      </c>
      <c r="C23" s="16">
        <f>C37+C38+C39</f>
        <v>5275</v>
      </c>
      <c r="D23" s="16">
        <f>D37+D38+D39</f>
        <v>5275</v>
      </c>
      <c r="F23" s="1"/>
      <c r="G23" s="1"/>
      <c r="H23" s="1"/>
      <c r="I23" s="1"/>
      <c r="J23" s="1">
        <f>J17*0.5</f>
        <v>2440.3274999999999</v>
      </c>
      <c r="K23" s="5">
        <f t="shared" si="16"/>
        <v>2440.3274999999999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528.39</v>
      </c>
      <c r="W23" s="1">
        <f t="shared" ref="W23:X23" si="23">(W17/W9)*0.06</f>
        <v>396.2924999999999</v>
      </c>
      <c r="X23" s="1">
        <f t="shared" si="23"/>
        <v>396.2924999999999</v>
      </c>
      <c r="Y23" s="5">
        <f t="shared" si="20"/>
        <v>1320.9749999999999</v>
      </c>
      <c r="AA23" s="1">
        <f>AA17*0.08</f>
        <v>546.48</v>
      </c>
      <c r="AB23" s="1">
        <f>AB17*0.08</f>
        <v>273.24</v>
      </c>
      <c r="AC23" s="1">
        <f>AC17*0.05</f>
        <v>653.23125000000005</v>
      </c>
      <c r="AD23" s="5">
        <f t="shared" si="21"/>
        <v>1472.9512500000001</v>
      </c>
      <c r="AF23" s="1">
        <f t="shared" si="22"/>
        <v>5234.2537499999999</v>
      </c>
    </row>
    <row r="24" spans="2:83" x14ac:dyDescent="0.25">
      <c r="B24" s="19" t="s">
        <v>91</v>
      </c>
      <c r="C24" s="16">
        <f>C35</f>
        <v>12282.2</v>
      </c>
      <c r="D24" s="16">
        <f>D35</f>
        <v>12282.2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6227.25</v>
      </c>
      <c r="S24" s="1"/>
      <c r="T24" s="1">
        <f t="shared" si="18"/>
        <v>6227.25</v>
      </c>
      <c r="V24" s="1"/>
      <c r="W24" s="1"/>
      <c r="X24" s="1"/>
      <c r="Y24" s="5">
        <f t="shared" si="20"/>
        <v>0</v>
      </c>
      <c r="AA24" s="1">
        <f>AA17-AA23</f>
        <v>6284.52</v>
      </c>
      <c r="AB24" s="1"/>
      <c r="AC24" s="1"/>
      <c r="AD24" s="5">
        <f t="shared" si="21"/>
        <v>6284.52</v>
      </c>
      <c r="AF24" s="1">
        <f t="shared" si="22"/>
        <v>12511.77</v>
      </c>
    </row>
    <row r="25" spans="2:83" x14ac:dyDescent="0.25">
      <c r="B25" s="19" t="s">
        <v>126</v>
      </c>
      <c r="C25" s="16">
        <f>C36</f>
        <v>2080</v>
      </c>
      <c r="D25" s="16">
        <f>D36</f>
        <v>2080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1900.9499999999998</v>
      </c>
      <c r="T25" s="1">
        <f>R25+S25</f>
        <v>1900.9499999999998</v>
      </c>
      <c r="V25" s="1"/>
      <c r="W25" s="1"/>
      <c r="X25" s="1"/>
      <c r="Y25" s="5">
        <f t="shared" si="20"/>
        <v>0</v>
      </c>
      <c r="AA25" s="1"/>
      <c r="AB25" s="1">
        <f>AB17-AB23</f>
        <v>3142.26</v>
      </c>
      <c r="AC25" s="1"/>
      <c r="AD25" s="5">
        <f t="shared" si="21"/>
        <v>3142.26</v>
      </c>
      <c r="AF25" s="1">
        <f t="shared" si="22"/>
        <v>3142.26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23828</v>
      </c>
      <c r="D27" s="16">
        <f>D64+D68+D69+D82+D91</f>
        <v>23828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7111.25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9138.49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7578.26</v>
      </c>
      <c r="AH27" s="59" t="str">
        <f>B27</f>
        <v>Mix and Bake</v>
      </c>
      <c r="AI27" s="1">
        <f>K27</f>
        <v>7111.25</v>
      </c>
      <c r="AJ27" s="1">
        <f>P27</f>
        <v>0</v>
      </c>
      <c r="AK27" s="1">
        <f t="shared" ref="AK27:AK39" si="26">T27</f>
        <v>0</v>
      </c>
      <c r="AL27" s="1">
        <f>Y27</f>
        <v>9138.49</v>
      </c>
      <c r="AM27" s="1">
        <f>AD27</f>
        <v>7578.26</v>
      </c>
      <c r="AN27" s="1">
        <f>SUM(AI27:AM27)</f>
        <v>23828</v>
      </c>
      <c r="AP27" s="7">
        <f>AI27/0.78</f>
        <v>9116.9871794871797</v>
      </c>
      <c r="AQ27" s="7">
        <f>AJ27/0.78</f>
        <v>0</v>
      </c>
      <c r="AR27" s="7">
        <f>AK27/0.78</f>
        <v>0</v>
      </c>
      <c r="AS27" s="7">
        <f>AL27/0.78</f>
        <v>11716.01282051282</v>
      </c>
      <c r="AT27" s="7">
        <f>AM27/0.78</f>
        <v>9715.7179487179492</v>
      </c>
      <c r="AU27" s="7">
        <f>SUM(AP27:AT27)</f>
        <v>30548.717948717949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2279.2467948717949</v>
      </c>
      <c r="BD27" s="7">
        <f>AX27*AQ27</f>
        <v>0</v>
      </c>
      <c r="BE27" s="7">
        <f>AY27*AR27</f>
        <v>0</v>
      </c>
      <c r="BF27" s="7">
        <f>AZ27*AS27</f>
        <v>2929.0032051282051</v>
      </c>
      <c r="BG27" s="7">
        <f>BA27*AT27</f>
        <v>2428.9294871794873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6837.7403846153848</v>
      </c>
      <c r="BP27" s="7">
        <f>BJ27*AQ27</f>
        <v>0</v>
      </c>
      <c r="BQ27" s="7">
        <f>BK27*AR27</f>
        <v>0</v>
      </c>
      <c r="BR27" s="7">
        <f>BL27*AS27</f>
        <v>8787.0096153846152</v>
      </c>
      <c r="BS27" s="7">
        <f>BM27*AT27</f>
        <v>7286.7884615384619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5950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1050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5950</v>
      </c>
      <c r="AM28" s="1">
        <f t="shared" ref="AM28:AM39" si="34">AD28</f>
        <v>1050</v>
      </c>
      <c r="AN28" s="1">
        <f t="shared" ref="AN28:AN39" si="35">SUM(AI28:AM28)</f>
        <v>7000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7628.2051282051279</v>
      </c>
      <c r="AT28" s="7">
        <f t="shared" si="36"/>
        <v>1346.1538461538462</v>
      </c>
      <c r="AU28" s="7">
        <f t="shared" ref="AU28:AU39" si="37">SUM(AP28:AT28)</f>
        <v>8974.3589743589746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2288.4615384615381</v>
      </c>
      <c r="BG28" s="7">
        <f t="shared" si="38"/>
        <v>403.84615384615387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5339.7435897435889</v>
      </c>
      <c r="BS28" s="7">
        <f t="shared" si="39"/>
        <v>942.30769230769226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18899</v>
      </c>
      <c r="D29" s="16">
        <f>D53+D92</f>
        <v>18898.999999999996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17795.059999999998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1103.94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17795.059999999998</v>
      </c>
      <c r="AK29" s="1">
        <f t="shared" si="26"/>
        <v>0</v>
      </c>
      <c r="AL29" s="1">
        <f t="shared" si="33"/>
        <v>1103.94</v>
      </c>
      <c r="AM29" s="1">
        <f t="shared" si="34"/>
        <v>0</v>
      </c>
      <c r="AN29" s="1">
        <f t="shared" si="35"/>
        <v>18898.999999999996</v>
      </c>
      <c r="AP29" s="7">
        <f t="shared" si="36"/>
        <v>0</v>
      </c>
      <c r="AQ29" s="7">
        <f t="shared" si="36"/>
        <v>22814.179487179485</v>
      </c>
      <c r="AR29" s="7">
        <f t="shared" si="36"/>
        <v>0</v>
      </c>
      <c r="AS29" s="7">
        <f t="shared" si="36"/>
        <v>1415.3076923076924</v>
      </c>
      <c r="AT29" s="7">
        <f t="shared" si="36"/>
        <v>0</v>
      </c>
      <c r="AU29" s="7">
        <f t="shared" si="37"/>
        <v>24229.487179487176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38"/>
        <v>0</v>
      </c>
      <c r="BD29" s="7">
        <f t="shared" si="38"/>
        <v>13688.50769230769</v>
      </c>
      <c r="BE29" s="7">
        <f t="shared" si="38"/>
        <v>0</v>
      </c>
      <c r="BF29" s="7">
        <f t="shared" si="38"/>
        <v>849.18461538461543</v>
      </c>
      <c r="BG29" s="7">
        <f t="shared" si="38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9125.6717948717942</v>
      </c>
      <c r="BQ29" s="7">
        <f t="shared" si="39"/>
        <v>0</v>
      </c>
      <c r="BR29" s="7">
        <f t="shared" si="39"/>
        <v>566.12307692307695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6250</v>
      </c>
      <c r="D30" s="16">
        <f>D54</f>
        <v>6250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6250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0</v>
      </c>
      <c r="AH30" s="59" t="str">
        <f t="shared" si="45"/>
        <v>Bakewell</v>
      </c>
      <c r="AI30" s="1">
        <f t="shared" si="31"/>
        <v>0</v>
      </c>
      <c r="AJ30" s="1">
        <f t="shared" si="32"/>
        <v>6250</v>
      </c>
      <c r="AK30" s="1">
        <f t="shared" si="26"/>
        <v>0</v>
      </c>
      <c r="AL30" s="1">
        <f t="shared" si="33"/>
        <v>0</v>
      </c>
      <c r="AM30" s="1">
        <f t="shared" si="34"/>
        <v>0</v>
      </c>
      <c r="AN30" s="1">
        <f t="shared" si="35"/>
        <v>6250</v>
      </c>
      <c r="AP30" s="7">
        <f t="shared" si="36"/>
        <v>0</v>
      </c>
      <c r="AQ30" s="7">
        <f t="shared" si="36"/>
        <v>8012.8205128205127</v>
      </c>
      <c r="AR30" s="7">
        <f t="shared" si="36"/>
        <v>0</v>
      </c>
      <c r="AS30" s="7">
        <f t="shared" si="36"/>
        <v>0</v>
      </c>
      <c r="AT30" s="7">
        <f t="shared" si="36"/>
        <v>0</v>
      </c>
      <c r="AU30" s="7">
        <f t="shared" si="37"/>
        <v>8012.8205128205127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38"/>
        <v>0</v>
      </c>
      <c r="BD30" s="7">
        <f t="shared" si="38"/>
        <v>801.28205128205127</v>
      </c>
      <c r="BE30" s="7">
        <f t="shared" si="38"/>
        <v>0</v>
      </c>
      <c r="BF30" s="7">
        <f t="shared" si="38"/>
        <v>0</v>
      </c>
      <c r="BG30" s="7">
        <f t="shared" si="38"/>
        <v>0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46"/>
        <v>0</v>
      </c>
      <c r="BP30" s="7">
        <f t="shared" si="39"/>
        <v>7211.5384615384619</v>
      </c>
      <c r="BQ30" s="7">
        <f t="shared" si="39"/>
        <v>0</v>
      </c>
      <c r="BR30" s="7">
        <f t="shared" si="39"/>
        <v>0</v>
      </c>
      <c r="BS30" s="7">
        <f t="shared" si="39"/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15941</v>
      </c>
      <c r="D31" s="16">
        <f>D65</f>
        <v>15941.000000000002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12752.800000000001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3188.2000000000003</v>
      </c>
      <c r="AH31" s="59" t="str">
        <f t="shared" si="45"/>
        <v>Bua Premium</v>
      </c>
      <c r="AI31" s="1">
        <f t="shared" si="31"/>
        <v>12752.800000000001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3188.2000000000003</v>
      </c>
      <c r="AN31" s="1">
        <f t="shared" si="35"/>
        <v>15941.000000000002</v>
      </c>
      <c r="AP31" s="7">
        <f t="shared" si="36"/>
        <v>16349.74358974359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4087.4358974358975</v>
      </c>
      <c r="AU31" s="7">
        <f t="shared" si="37"/>
        <v>20437.179487179488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46"/>
        <v>16349.74358974359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4087.4358974358975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3750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3750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3750</v>
      </c>
      <c r="AP32" s="7">
        <f t="shared" si="36"/>
        <v>4807.6923076923076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4807.6923076923076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46"/>
        <v>480.76923076923077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4326.9230769230771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1700</v>
      </c>
      <c r="D33" s="16">
        <f>D47+D70</f>
        <v>1700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1530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170</v>
      </c>
      <c r="AH33" s="59" t="str">
        <f t="shared" si="45"/>
        <v>Noodles Flour</v>
      </c>
      <c r="AI33" s="1">
        <f t="shared" si="31"/>
        <v>0</v>
      </c>
      <c r="AJ33" s="1">
        <f t="shared" si="32"/>
        <v>1530</v>
      </c>
      <c r="AK33" s="1">
        <f t="shared" si="26"/>
        <v>0</v>
      </c>
      <c r="AL33" s="1">
        <f t="shared" si="33"/>
        <v>0</v>
      </c>
      <c r="AM33" s="1">
        <f t="shared" si="34"/>
        <v>170</v>
      </c>
      <c r="AN33" s="1">
        <f t="shared" si="35"/>
        <v>1700</v>
      </c>
      <c r="AP33" s="7">
        <f t="shared" si="36"/>
        <v>0</v>
      </c>
      <c r="AQ33" s="7">
        <f t="shared" si="36"/>
        <v>1961.5384615384614</v>
      </c>
      <c r="AR33" s="7">
        <f t="shared" si="36"/>
        <v>0</v>
      </c>
      <c r="AS33" s="7">
        <f t="shared" si="36"/>
        <v>0</v>
      </c>
      <c r="AT33" s="7">
        <f t="shared" si="36"/>
        <v>217.94871794871793</v>
      </c>
      <c r="AU33" s="7">
        <f t="shared" si="37"/>
        <v>2179.4871794871792</v>
      </c>
      <c r="AW33" s="46">
        <v>0.2</v>
      </c>
      <c r="AX33" s="46">
        <v>0.2</v>
      </c>
      <c r="AY33" s="46">
        <v>0.2</v>
      </c>
      <c r="AZ33" s="46">
        <v>0.2</v>
      </c>
      <c r="BA33" s="46">
        <v>0.2</v>
      </c>
      <c r="BC33" s="7">
        <f t="shared" si="38"/>
        <v>0</v>
      </c>
      <c r="BD33" s="7">
        <f t="shared" si="38"/>
        <v>392.30769230769232</v>
      </c>
      <c r="BE33" s="7">
        <f t="shared" si="38"/>
        <v>0</v>
      </c>
      <c r="BF33" s="7">
        <f t="shared" si="38"/>
        <v>0</v>
      </c>
      <c r="BG33" s="7">
        <f t="shared" si="38"/>
        <v>43.589743589743591</v>
      </c>
      <c r="BI33" s="46">
        <v>0.8</v>
      </c>
      <c r="BJ33" s="46">
        <v>0.8</v>
      </c>
      <c r="BK33" s="46">
        <v>0.8</v>
      </c>
      <c r="BL33" s="46">
        <v>0.8</v>
      </c>
      <c r="BM33" s="46">
        <v>0.8</v>
      </c>
      <c r="BO33" s="7">
        <f t="shared" si="46"/>
        <v>0</v>
      </c>
      <c r="BP33" s="7">
        <f t="shared" si="39"/>
        <v>1569.2307692307693</v>
      </c>
      <c r="BQ33" s="7">
        <f t="shared" si="39"/>
        <v>0</v>
      </c>
      <c r="BR33" s="7">
        <f t="shared" si="39"/>
        <v>0</v>
      </c>
      <c r="BS33" s="7">
        <f t="shared" si="39"/>
        <v>174.35897435897436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160.25641025641025</v>
      </c>
      <c r="BG34" s="7">
        <f t="shared" si="38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480.76923076923072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12282.2</v>
      </c>
      <c r="D35" s="16">
        <f>D48+D66+D75+D76</f>
        <v>12282.2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5772.634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6509.5660000000007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5772.634</v>
      </c>
      <c r="AL35" s="1">
        <f t="shared" si="33"/>
        <v>0</v>
      </c>
      <c r="AM35" s="1">
        <f t="shared" si="34"/>
        <v>6509.5660000000007</v>
      </c>
      <c r="AN35" s="1">
        <f t="shared" si="35"/>
        <v>12282.2</v>
      </c>
      <c r="AP35" s="7">
        <f t="shared" si="36"/>
        <v>0</v>
      </c>
      <c r="AQ35" s="7">
        <f t="shared" si="36"/>
        <v>0</v>
      </c>
      <c r="AR35" s="7">
        <f t="shared" si="36"/>
        <v>7400.8128205128205</v>
      </c>
      <c r="AS35" s="7">
        <f t="shared" si="36"/>
        <v>0</v>
      </c>
      <c r="AT35" s="7">
        <f t="shared" si="36"/>
        <v>8345.5974358974363</v>
      </c>
      <c r="AU35" s="7">
        <f t="shared" si="37"/>
        <v>15746.410256410258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46"/>
        <v>0</v>
      </c>
      <c r="BP35" s="7">
        <f t="shared" si="39"/>
        <v>0</v>
      </c>
      <c r="BQ35" s="7">
        <f t="shared" si="39"/>
        <v>7400.8128205128205</v>
      </c>
      <c r="BR35" s="7">
        <f t="shared" si="39"/>
        <v>0</v>
      </c>
      <c r="BS35" s="7">
        <f t="shared" si="39"/>
        <v>8345.5974358974363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2080</v>
      </c>
      <c r="D36" s="16">
        <f>D49+D51+D52+D83+D88+D84+D85+D86+D87</f>
        <v>2080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567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1513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567</v>
      </c>
      <c r="AL36" s="1">
        <f t="shared" si="33"/>
        <v>0</v>
      </c>
      <c r="AM36" s="1">
        <f t="shared" si="34"/>
        <v>1513</v>
      </c>
      <c r="AN36" s="1">
        <f t="shared" si="35"/>
        <v>2080</v>
      </c>
      <c r="AP36" s="7">
        <f t="shared" si="36"/>
        <v>0</v>
      </c>
      <c r="AQ36" s="7">
        <f t="shared" si="36"/>
        <v>0</v>
      </c>
      <c r="AR36" s="7">
        <f t="shared" si="36"/>
        <v>726.92307692307691</v>
      </c>
      <c r="AS36" s="7">
        <f t="shared" si="36"/>
        <v>0</v>
      </c>
      <c r="AT36" s="7">
        <f t="shared" si="36"/>
        <v>1939.7435897435896</v>
      </c>
      <c r="AU36" s="7">
        <f t="shared" si="37"/>
        <v>2666.6666666666665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46"/>
        <v>0</v>
      </c>
      <c r="BP36" s="7">
        <f t="shared" si="39"/>
        <v>0</v>
      </c>
      <c r="BQ36" s="7">
        <f t="shared" si="39"/>
        <v>726.92307692307691</v>
      </c>
      <c r="BR36" s="7">
        <f t="shared" si="39"/>
        <v>0</v>
      </c>
      <c r="BS36" s="7">
        <f t="shared" si="39"/>
        <v>1939.7435897435896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2775</v>
      </c>
      <c r="D37" s="16">
        <f>D71+D72+D73+D74</f>
        <v>2775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906.76625000000013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858.63374999999985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1009.6000000000001</v>
      </c>
      <c r="AH37" s="59" t="str">
        <f t="shared" si="45"/>
        <v>Supreme Semolina</v>
      </c>
      <c r="AI37" s="1">
        <f t="shared" si="31"/>
        <v>906.76625000000013</v>
      </c>
      <c r="AJ37" s="1">
        <f t="shared" si="32"/>
        <v>0</v>
      </c>
      <c r="AK37" s="1">
        <f t="shared" si="26"/>
        <v>0</v>
      </c>
      <c r="AL37" s="1">
        <f t="shared" si="33"/>
        <v>858.63374999999985</v>
      </c>
      <c r="AM37" s="1">
        <f t="shared" si="34"/>
        <v>1009.6000000000001</v>
      </c>
      <c r="AN37" s="1">
        <f t="shared" si="35"/>
        <v>2775</v>
      </c>
      <c r="AP37" s="7">
        <f t="shared" si="36"/>
        <v>1162.5208333333335</v>
      </c>
      <c r="AQ37" s="7">
        <f t="shared" si="36"/>
        <v>0</v>
      </c>
      <c r="AR37" s="7">
        <f t="shared" si="36"/>
        <v>0</v>
      </c>
      <c r="AS37" s="7">
        <f t="shared" si="36"/>
        <v>1100.8124999999998</v>
      </c>
      <c r="AT37" s="7">
        <f t="shared" si="36"/>
        <v>1294.3589743589746</v>
      </c>
      <c r="AU37" s="7">
        <f t="shared" si="37"/>
        <v>3557.6923076923076</v>
      </c>
      <c r="AW37" s="46">
        <v>0.3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38"/>
        <v>348.75625000000002</v>
      </c>
      <c r="BD37" s="7">
        <f t="shared" si="38"/>
        <v>0</v>
      </c>
      <c r="BE37" s="7">
        <f t="shared" si="38"/>
        <v>0</v>
      </c>
      <c r="BF37" s="7">
        <f t="shared" si="38"/>
        <v>275.20312499999994</v>
      </c>
      <c r="BG37" s="7">
        <f t="shared" si="38"/>
        <v>323.58974358974365</v>
      </c>
      <c r="BI37" s="46">
        <v>0.75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46"/>
        <v>871.89062500000011</v>
      </c>
      <c r="BP37" s="7">
        <f t="shared" si="39"/>
        <v>0</v>
      </c>
      <c r="BQ37" s="7">
        <f t="shared" si="39"/>
        <v>0</v>
      </c>
      <c r="BR37" s="7">
        <f t="shared" si="39"/>
        <v>825.60937499999977</v>
      </c>
      <c r="BS37" s="7">
        <f t="shared" si="39"/>
        <v>970.76923076923094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1300</v>
      </c>
      <c r="D38" s="16">
        <f>D55+D56+D57+D58+D89+D90</f>
        <v>1300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1300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1300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1300</v>
      </c>
      <c r="AP38" s="7">
        <f t="shared" si="36"/>
        <v>1666.6666666666665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1666.6666666666665</v>
      </c>
      <c r="AW38" s="46">
        <v>0.3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38"/>
        <v>499.99999999999994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0.7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46"/>
        <v>1166.6666666666665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1200</v>
      </c>
      <c r="D39" s="16">
        <f>D77+D78+D79+D80</f>
        <v>1200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1200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1200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1200</v>
      </c>
      <c r="AP39" s="7">
        <f t="shared" si="36"/>
        <v>1538.4615384615383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1538.4615384615383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38"/>
        <v>384.61538461538458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46"/>
        <v>1153.8461538461538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97505.2</v>
      </c>
      <c r="D40" s="33">
        <f>SUM(D27:D39)</f>
        <v>97505.2</v>
      </c>
      <c r="E40" s="8"/>
      <c r="F40" s="47">
        <v>0</v>
      </c>
      <c r="G40" s="47">
        <f>SUM(G95:G110)/G17</f>
        <v>1.0288993997731863</v>
      </c>
      <c r="H40" s="47">
        <f>SUM(H95:H110)/H17</f>
        <v>1.0582358310513651</v>
      </c>
      <c r="I40" s="47">
        <f>SUM(I95:I110)/I17</f>
        <v>0.94296210801065172</v>
      </c>
      <c r="J40" s="47">
        <f>(J96+J104)/J23</f>
        <v>0.90429102241399983</v>
      </c>
      <c r="K40" s="47">
        <f>K93/K17</f>
        <v>1.0032238545465888</v>
      </c>
      <c r="L40" s="8"/>
      <c r="M40" s="47">
        <v>0</v>
      </c>
      <c r="N40" s="47">
        <f>SUM(N95:N110)/N17</f>
        <v>1.0564643123866424</v>
      </c>
      <c r="O40" s="47">
        <f>SUM(O95:O110)/O17</f>
        <v>0.96471235345021733</v>
      </c>
      <c r="P40" s="48">
        <f>P93/P17</f>
        <v>0.74464403478200081</v>
      </c>
      <c r="Q40" s="8"/>
      <c r="R40" s="47">
        <f>SUM(R95:R110)/R17</f>
        <v>0.92699570436388457</v>
      </c>
      <c r="S40" s="47">
        <f t="shared" ref="S40:T40" si="85">SUM(S95:S110)/S17</f>
        <v>0.29827191667324238</v>
      </c>
      <c r="T40" s="47">
        <f t="shared" si="85"/>
        <v>0.77995546369429891</v>
      </c>
      <c r="U40" s="8"/>
      <c r="V40" s="47">
        <f>SUM(V95:V110)/V17</f>
        <v>0.9890835455163508</v>
      </c>
      <c r="W40" s="47">
        <f>SUM(W95:W110)/W17</f>
        <v>1.0440015547956276</v>
      </c>
      <c r="X40" s="47">
        <f>SUM(X95:X110)/X17</f>
        <v>1.0440015547956276</v>
      </c>
      <c r="Y40" s="47">
        <f>Y93/Y17</f>
        <v>1.0220343510839169</v>
      </c>
      <c r="Z40" s="8"/>
      <c r="AA40" s="47">
        <f>SUM(AA95:AA110)/AA17</f>
        <v>1.0268432147562583</v>
      </c>
      <c r="AB40" s="47">
        <f>SUM(AB95:AB110)/AB17</f>
        <v>0.51687893427023868</v>
      </c>
      <c r="AC40" s="47">
        <f>SUM(AC95:AC110)/AC17</f>
        <v>0.93679382301443792</v>
      </c>
      <c r="AD40" s="47">
        <f>AD93/AD17</f>
        <v>0.90165644086246377</v>
      </c>
      <c r="AE40" s="8"/>
      <c r="AF40" s="8"/>
      <c r="AG40" s="54"/>
      <c r="AH40" s="61"/>
      <c r="AI40" s="59">
        <f>SUM(AI27:AI39)</f>
        <v>27020.816250000003</v>
      </c>
      <c r="AJ40" s="59">
        <f t="shared" ref="AJ40:AN40" si="86">SUM(AJ27:AJ39)</f>
        <v>25575.059999999998</v>
      </c>
      <c r="AK40" s="59">
        <f t="shared" si="86"/>
        <v>6339.634</v>
      </c>
      <c r="AL40" s="59">
        <f t="shared" si="86"/>
        <v>17551.063750000001</v>
      </c>
      <c r="AM40" s="59">
        <f t="shared" si="86"/>
        <v>21018.626</v>
      </c>
      <c r="AN40" s="59">
        <f t="shared" si="86"/>
        <v>97505.2</v>
      </c>
      <c r="AO40" s="57"/>
      <c r="AP40" s="57">
        <f t="shared" si="36"/>
        <v>34642.072115384617</v>
      </c>
      <c r="AQ40" s="57">
        <f t="shared" si="36"/>
        <v>32788.538461538461</v>
      </c>
      <c r="AR40" s="57">
        <f t="shared" si="36"/>
        <v>8127.7358974358967</v>
      </c>
      <c r="AS40" s="57">
        <f t="shared" si="36"/>
        <v>22501.363782051281</v>
      </c>
      <c r="AT40" s="57">
        <f t="shared" si="36"/>
        <v>26946.956410256411</v>
      </c>
      <c r="AU40" s="57">
        <f t="shared" si="36"/>
        <v>125006.66666666666</v>
      </c>
      <c r="AV40" s="57"/>
      <c r="AW40" s="57"/>
      <c r="AX40" s="57"/>
      <c r="AY40" s="57"/>
      <c r="AZ40" s="57"/>
      <c r="BA40" s="57"/>
      <c r="BB40" s="57"/>
      <c r="BC40" s="57">
        <f>SUM(BC27:BC39)</f>
        <v>3512.6184294871796</v>
      </c>
      <c r="BD40" s="57">
        <f t="shared" ref="BD40:BG40" si="87">SUM(BD27:BD39)</f>
        <v>14882.097435897433</v>
      </c>
      <c r="BE40" s="57">
        <f t="shared" si="87"/>
        <v>0</v>
      </c>
      <c r="BF40" s="57">
        <f t="shared" si="87"/>
        <v>6502.1088942307688</v>
      </c>
      <c r="BG40" s="57">
        <f t="shared" si="87"/>
        <v>3199.9551282051284</v>
      </c>
      <c r="BH40" s="57"/>
      <c r="BI40" s="57"/>
      <c r="BJ40" s="57"/>
      <c r="BK40" s="57"/>
      <c r="BL40" s="57"/>
      <c r="BM40" s="57"/>
      <c r="BN40" s="57"/>
      <c r="BO40" s="57">
        <f>SUM(BO27:BO39)</f>
        <v>26860.656650641027</v>
      </c>
      <c r="BP40" s="57">
        <f t="shared" ref="BP40:BS40" si="88">SUM(BP27:BP39)</f>
        <v>17906.441025641026</v>
      </c>
      <c r="BQ40" s="57">
        <f t="shared" si="88"/>
        <v>8127.7358974358976</v>
      </c>
      <c r="BR40" s="57">
        <f t="shared" si="88"/>
        <v>15999.254887820511</v>
      </c>
      <c r="BS40" s="57">
        <f t="shared" si="88"/>
        <v>23747.001282051282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18394.715865384613</v>
      </c>
      <c r="BD41" s="84"/>
      <c r="BE41" s="84"/>
      <c r="BF41" s="7">
        <f>BF40</f>
        <v>6502.1088942307688</v>
      </c>
      <c r="BG41" s="7">
        <f>BG40</f>
        <v>3199.9551282051284</v>
      </c>
      <c r="BO41" s="84">
        <f>SUM(BO40:BQ40)</f>
        <v>52894.833573717944</v>
      </c>
      <c r="BP41" s="84"/>
      <c r="BQ41" s="84"/>
      <c r="BR41" s="7">
        <f>BR40</f>
        <v>15999.254887820511</v>
      </c>
      <c r="BS41" s="7">
        <f>BS40</f>
        <v>23747.001282051282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95543</v>
      </c>
      <c r="BC42" s="71">
        <f>BC41/4.33</f>
        <v>4248.2022783798184</v>
      </c>
      <c r="BD42" s="71"/>
      <c r="BE42" s="71"/>
      <c r="BF42" s="7">
        <f>BF41/4.33</f>
        <v>1501.6417769586071</v>
      </c>
      <c r="BG42" s="7">
        <f>BG41/4.33</f>
        <v>739.01966009356317</v>
      </c>
      <c r="BO42" s="71">
        <f>BO41/4.33</f>
        <v>12215.89689924202</v>
      </c>
      <c r="BP42" s="71"/>
      <c r="BQ42" s="71"/>
      <c r="BR42" s="7">
        <f>BR41/4.33</f>
        <v>3694.9780341386859</v>
      </c>
      <c r="BS42" s="7">
        <f>BS41/4.33</f>
        <v>5484.295908094984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0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283</v>
      </c>
      <c r="D48" s="36">
        <f t="shared" si="90"/>
        <v>283</v>
      </c>
      <c r="K48" s="7">
        <f t="shared" si="94"/>
        <v>0</v>
      </c>
      <c r="P48" s="7">
        <f t="shared" si="91"/>
        <v>0</v>
      </c>
      <c r="T48" s="43">
        <f>T66*2.5%</f>
        <v>133.01</v>
      </c>
      <c r="Y48" s="7">
        <f t="shared" si="92"/>
        <v>0</v>
      </c>
      <c r="AD48" s="43">
        <f>AD66*2.5%</f>
        <v>149.99</v>
      </c>
    </row>
    <row r="49" spans="1:30" x14ac:dyDescent="0.25">
      <c r="A49" s="26"/>
      <c r="B49" s="29" t="s">
        <v>85</v>
      </c>
      <c r="C49" s="36">
        <v>150</v>
      </c>
      <c r="D49" s="36">
        <f t="shared" si="90"/>
        <v>150</v>
      </c>
      <c r="K49" s="7">
        <f t="shared" si="94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0"/>
        <v>500</v>
      </c>
      <c r="K50" s="7">
        <f t="shared" si="94"/>
        <v>0</v>
      </c>
      <c r="P50" s="7">
        <f t="shared" si="91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1513</v>
      </c>
      <c r="D51" s="36">
        <f t="shared" si="90"/>
        <v>1513</v>
      </c>
      <c r="K51" s="7">
        <f t="shared" si="94"/>
        <v>0</v>
      </c>
      <c r="P51" s="7">
        <f t="shared" si="91"/>
        <v>0</v>
      </c>
      <c r="Y51" s="7">
        <f t="shared" si="92"/>
        <v>0</v>
      </c>
      <c r="AD51" s="7">
        <f>C51</f>
        <v>1513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0"/>
        <v>150</v>
      </c>
      <c r="K52" s="7">
        <f t="shared" si="94"/>
        <v>0</v>
      </c>
      <c r="P52" s="7">
        <f t="shared" si="91"/>
        <v>0</v>
      </c>
      <c r="T52" s="7">
        <f>C52</f>
        <v>150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18399</v>
      </c>
      <c r="D53" s="36">
        <f t="shared" si="90"/>
        <v>18398.999999999996</v>
      </c>
      <c r="K53" s="7">
        <v>0</v>
      </c>
      <c r="P53" s="7">
        <f>C53*0.94</f>
        <v>17295.059999999998</v>
      </c>
      <c r="Y53" s="7">
        <f>C53*0.06</f>
        <v>1103.94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6250</v>
      </c>
      <c r="D54" s="36">
        <f t="shared" si="90"/>
        <v>6250</v>
      </c>
      <c r="F54" s="37"/>
      <c r="G54" s="37"/>
      <c r="H54" s="37"/>
      <c r="I54" s="37"/>
      <c r="J54" s="37"/>
      <c r="K54" s="7">
        <v>0</v>
      </c>
      <c r="P54" s="7">
        <f>C54</f>
        <v>6250</v>
      </c>
      <c r="Y54" s="7">
        <v>0</v>
      </c>
      <c r="AD54" s="7">
        <v>0</v>
      </c>
    </row>
    <row r="55" spans="1:30" x14ac:dyDescent="0.25">
      <c r="A55" s="26">
        <v>100000006028</v>
      </c>
      <c r="B55" s="27" t="s">
        <v>32</v>
      </c>
      <c r="C55" s="45">
        <v>16</v>
      </c>
      <c r="D55" s="36">
        <f t="shared" si="90"/>
        <v>16</v>
      </c>
      <c r="F55" s="37"/>
      <c r="G55" s="37"/>
      <c r="H55" s="37"/>
      <c r="I55" s="37"/>
      <c r="J55" s="37"/>
      <c r="K55" s="7">
        <f>C55</f>
        <v>16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>
        <v>12</v>
      </c>
      <c r="D56" s="36">
        <f t="shared" si="90"/>
        <v>12</v>
      </c>
      <c r="F56" s="38"/>
      <c r="G56" s="38"/>
      <c r="H56" s="38"/>
      <c r="I56" s="38"/>
      <c r="J56" s="38"/>
      <c r="K56" s="7">
        <f t="shared" ref="K56:K58" si="95">C56</f>
        <v>12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69</v>
      </c>
      <c r="D57" s="36">
        <f t="shared" si="90"/>
        <v>69</v>
      </c>
      <c r="F57" s="38"/>
      <c r="G57" s="38"/>
      <c r="H57" s="38"/>
      <c r="I57" s="38"/>
      <c r="J57" s="38"/>
      <c r="K57" s="7">
        <f t="shared" si="95"/>
        <v>69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221</v>
      </c>
      <c r="D58" s="36">
        <f t="shared" si="90"/>
        <v>221</v>
      </c>
      <c r="F58" s="38"/>
      <c r="G58" s="38"/>
      <c r="H58" s="38"/>
      <c r="I58" s="38"/>
      <c r="J58" s="38"/>
      <c r="K58" s="7">
        <f t="shared" si="95"/>
        <v>221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90"/>
        <v>7000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22289</v>
      </c>
      <c r="D64" s="36">
        <f t="shared" si="90"/>
        <v>22289</v>
      </c>
      <c r="K64" s="7">
        <f>C64*0.25</f>
        <v>5572.25</v>
      </c>
      <c r="P64" s="7">
        <v>0</v>
      </c>
      <c r="Y64" s="7">
        <f>C64*0.41</f>
        <v>9138.49</v>
      </c>
      <c r="AD64" s="7">
        <f>C64*0.34</f>
        <v>7578.26</v>
      </c>
    </row>
    <row r="65" spans="1:32" x14ac:dyDescent="0.25">
      <c r="A65" s="26">
        <v>100000017891</v>
      </c>
      <c r="B65" s="51" t="s">
        <v>101</v>
      </c>
      <c r="C65" s="45">
        <v>15941</v>
      </c>
      <c r="D65" s="36">
        <f t="shared" si="90"/>
        <v>15941.000000000002</v>
      </c>
      <c r="K65" s="7">
        <f>C65*0.8</f>
        <v>12752.800000000001</v>
      </c>
      <c r="Y65" s="7">
        <v>0</v>
      </c>
      <c r="AD65" s="7">
        <f>C65*0.2</f>
        <v>3188.2000000000003</v>
      </c>
    </row>
    <row r="66" spans="1:32" x14ac:dyDescent="0.25">
      <c r="A66" s="26">
        <v>100000018687</v>
      </c>
      <c r="B66" s="51" t="s">
        <v>102</v>
      </c>
      <c r="C66" s="43">
        <v>11320</v>
      </c>
      <c r="D66" s="36">
        <f t="shared" si="90"/>
        <v>11320</v>
      </c>
      <c r="K66" s="7">
        <f t="shared" si="94"/>
        <v>0</v>
      </c>
      <c r="P66" s="7">
        <f t="shared" si="91"/>
        <v>0</v>
      </c>
      <c r="T66" s="7">
        <f>C66*0.47</f>
        <v>5320.4</v>
      </c>
      <c r="Y66" s="7">
        <f t="shared" si="92"/>
        <v>0</v>
      </c>
      <c r="AD66" s="7">
        <f>C66*0.53</f>
        <v>5999.6</v>
      </c>
      <c r="AF66" s="7">
        <f>AD66*4.6%</f>
        <v>275.98160000000001</v>
      </c>
    </row>
    <row r="67" spans="1:32" x14ac:dyDescent="0.25">
      <c r="A67" s="26">
        <v>100000006037</v>
      </c>
      <c r="B67" s="27" t="s">
        <v>43</v>
      </c>
      <c r="C67" s="43">
        <f>3750-C46</f>
        <v>3630</v>
      </c>
      <c r="D67" s="36">
        <f t="shared" si="90"/>
        <v>3630</v>
      </c>
      <c r="K67" s="7">
        <f>C67</f>
        <v>3630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90"/>
        <v>300</v>
      </c>
      <c r="K68" s="7">
        <f t="shared" ref="K68:K69" si="96">C68</f>
        <v>300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>
        <v>539</v>
      </c>
      <c r="D69" s="36">
        <f t="shared" si="90"/>
        <v>539</v>
      </c>
      <c r="K69" s="7">
        <f t="shared" si="96"/>
        <v>539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1700</v>
      </c>
      <c r="D70" s="36">
        <f t="shared" si="90"/>
        <v>1700</v>
      </c>
      <c r="K70" s="7">
        <f t="shared" si="94"/>
        <v>0</v>
      </c>
      <c r="P70" s="7">
        <f>C70*0.9</f>
        <v>1530</v>
      </c>
      <c r="Y70" s="7">
        <f t="shared" si="92"/>
        <v>0</v>
      </c>
      <c r="AD70" s="7">
        <f>C70*0.1</f>
        <v>170</v>
      </c>
    </row>
    <row r="71" spans="1:32" x14ac:dyDescent="0.25">
      <c r="A71" s="26">
        <v>100000002976</v>
      </c>
      <c r="B71" s="27" t="s">
        <v>48</v>
      </c>
      <c r="C71" s="45">
        <v>2152</v>
      </c>
      <c r="D71" s="36">
        <f t="shared" si="90"/>
        <v>2152</v>
      </c>
      <c r="K71" s="7">
        <f>C71-Y71-AD71</f>
        <v>655.81102500000009</v>
      </c>
      <c r="P71" s="7">
        <f t="shared" ref="P71:P74" si="97">SUM(M71:O71)</f>
        <v>0</v>
      </c>
      <c r="Y71" s="7">
        <f>0.05*Y17*0.74</f>
        <v>635.38897499999996</v>
      </c>
      <c r="AD71" s="7">
        <f>C71*0.4</f>
        <v>860.80000000000007</v>
      </c>
    </row>
    <row r="72" spans="1:32" x14ac:dyDescent="0.25">
      <c r="A72" s="26">
        <v>100000002977</v>
      </c>
      <c r="B72" s="27" t="s">
        <v>49</v>
      </c>
      <c r="C72" s="45">
        <v>372</v>
      </c>
      <c r="D72" s="36">
        <f t="shared" si="90"/>
        <v>372</v>
      </c>
      <c r="K72" s="7">
        <f t="shared" ref="K72:K74" si="98">C72-Y72-AD72</f>
        <v>111.57761249999999</v>
      </c>
      <c r="P72" s="7">
        <f t="shared" si="97"/>
        <v>0</v>
      </c>
      <c r="Y72" s="7">
        <f>0.05*Y17*0.13</f>
        <v>111.6223875</v>
      </c>
      <c r="AD72" s="7">
        <f>C72*0.4</f>
        <v>148.80000000000001</v>
      </c>
    </row>
    <row r="73" spans="1:32" x14ac:dyDescent="0.25">
      <c r="A73" s="26">
        <v>100000002978</v>
      </c>
      <c r="B73" s="27" t="s">
        <v>50</v>
      </c>
      <c r="C73" s="45">
        <v>132</v>
      </c>
      <c r="D73" s="36">
        <f t="shared" si="90"/>
        <v>132</v>
      </c>
      <c r="K73" s="7">
        <f t="shared" si="98"/>
        <v>63.309300000000007</v>
      </c>
      <c r="P73" s="7">
        <f t="shared" si="97"/>
        <v>0</v>
      </c>
      <c r="Y73" s="7">
        <f>0.05*Y17*0.08</f>
        <v>68.690699999999993</v>
      </c>
    </row>
    <row r="74" spans="1:32" x14ac:dyDescent="0.25">
      <c r="A74" s="26">
        <v>100000015941</v>
      </c>
      <c r="B74" s="27" t="s">
        <v>51</v>
      </c>
      <c r="C74" s="45">
        <v>119</v>
      </c>
      <c r="D74" s="36">
        <f t="shared" si="90"/>
        <v>119</v>
      </c>
      <c r="K74" s="7">
        <f t="shared" si="98"/>
        <v>76.06831249999999</v>
      </c>
      <c r="P74" s="7">
        <f t="shared" si="97"/>
        <v>0</v>
      </c>
      <c r="Y74" s="7">
        <f>0.05*Y17*0.05</f>
        <v>42.931687500000002</v>
      </c>
    </row>
    <row r="75" spans="1:32" x14ac:dyDescent="0.25">
      <c r="A75" s="26">
        <v>100000017899</v>
      </c>
      <c r="B75" s="27" t="s">
        <v>52</v>
      </c>
      <c r="C75" s="74">
        <f>C66*1%</f>
        <v>113.2</v>
      </c>
      <c r="D75" s="36">
        <f t="shared" si="90"/>
        <v>113.2</v>
      </c>
      <c r="K75" s="7">
        <f t="shared" si="94"/>
        <v>0</v>
      </c>
      <c r="P75" s="7">
        <f t="shared" si="91"/>
        <v>0</v>
      </c>
      <c r="T75" s="74">
        <f>T66*1%</f>
        <v>53.204000000000001</v>
      </c>
      <c r="Y75" s="7">
        <f t="shared" si="92"/>
        <v>0</v>
      </c>
      <c r="AD75" s="74">
        <f>AD66*1%</f>
        <v>59.996000000000002</v>
      </c>
    </row>
    <row r="76" spans="1:32" x14ac:dyDescent="0.25">
      <c r="A76" s="26">
        <v>100000017897</v>
      </c>
      <c r="B76" s="27" t="s">
        <v>53</v>
      </c>
      <c r="C76" s="43">
        <f>C66*5%</f>
        <v>566</v>
      </c>
      <c r="D76" s="36">
        <f t="shared" si="90"/>
        <v>566</v>
      </c>
      <c r="K76" s="7">
        <f t="shared" si="94"/>
        <v>0</v>
      </c>
      <c r="P76" s="7">
        <f t="shared" si="91"/>
        <v>0</v>
      </c>
      <c r="T76" s="43">
        <f>T66*5%</f>
        <v>266.02</v>
      </c>
      <c r="Y76" s="7">
        <f t="shared" si="92"/>
        <v>0</v>
      </c>
      <c r="AD76" s="43">
        <f>AD66*5%</f>
        <v>299.98</v>
      </c>
    </row>
    <row r="77" spans="1:32" x14ac:dyDescent="0.25">
      <c r="A77" s="26"/>
      <c r="B77" s="27" t="s">
        <v>121</v>
      </c>
      <c r="C77" s="36">
        <v>720</v>
      </c>
      <c r="D77" s="36">
        <f t="shared" si="90"/>
        <v>720</v>
      </c>
      <c r="K77" s="7">
        <f>C77</f>
        <v>720</v>
      </c>
    </row>
    <row r="78" spans="1:32" x14ac:dyDescent="0.25">
      <c r="A78" s="26"/>
      <c r="B78" s="27" t="s">
        <v>122</v>
      </c>
      <c r="C78" s="36">
        <v>240</v>
      </c>
      <c r="D78" s="36">
        <f t="shared" si="90"/>
        <v>240</v>
      </c>
      <c r="K78" s="7">
        <f t="shared" ref="K78:K81" si="99">C78</f>
        <v>240</v>
      </c>
    </row>
    <row r="79" spans="1:32" x14ac:dyDescent="0.25">
      <c r="A79" s="26"/>
      <c r="B79" s="27" t="s">
        <v>127</v>
      </c>
      <c r="C79" s="36">
        <v>120</v>
      </c>
      <c r="D79" s="36">
        <f t="shared" si="90"/>
        <v>120</v>
      </c>
      <c r="K79" s="7">
        <f t="shared" si="99"/>
        <v>120</v>
      </c>
    </row>
    <row r="80" spans="1:32" x14ac:dyDescent="0.25">
      <c r="A80" s="26"/>
      <c r="B80" s="27" t="s">
        <v>128</v>
      </c>
      <c r="C80" s="36">
        <v>120</v>
      </c>
      <c r="D80" s="36">
        <f t="shared" si="90"/>
        <v>120</v>
      </c>
      <c r="K80" s="7">
        <f t="shared" si="99"/>
        <v>120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9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267</v>
      </c>
      <c r="D83" s="36">
        <f t="shared" si="90"/>
        <v>267</v>
      </c>
      <c r="K83" s="7">
        <f t="shared" si="94"/>
        <v>0</v>
      </c>
      <c r="P83" s="7">
        <f t="shared" si="91"/>
        <v>0</v>
      </c>
      <c r="T83" s="7">
        <f>C83</f>
        <v>267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/>
      <c r="D84" s="36">
        <f t="shared" si="90"/>
        <v>0</v>
      </c>
      <c r="K84" s="7">
        <f t="shared" si="94"/>
        <v>0</v>
      </c>
      <c r="P84" s="7">
        <f t="shared" si="91"/>
        <v>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/>
      <c r="D85" s="36">
        <f t="shared" si="90"/>
        <v>0</v>
      </c>
      <c r="K85" s="7">
        <f t="shared" si="94"/>
        <v>0</v>
      </c>
      <c r="P85" s="7">
        <f t="shared" si="91"/>
        <v>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/>
      <c r="D86" s="36">
        <f t="shared" si="90"/>
        <v>0</v>
      </c>
      <c r="K86" s="7">
        <f t="shared" si="94"/>
        <v>0</v>
      </c>
      <c r="P86" s="7">
        <f t="shared" si="91"/>
        <v>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/>
      <c r="D87" s="36">
        <f t="shared" si="90"/>
        <v>0</v>
      </c>
      <c r="K87" s="7">
        <f t="shared" si="94"/>
        <v>0</v>
      </c>
      <c r="P87" s="7">
        <f t="shared" si="91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569</v>
      </c>
      <c r="D89" s="36">
        <f t="shared" si="90"/>
        <v>569</v>
      </c>
      <c r="K89" s="7">
        <f>C89</f>
        <v>569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413</v>
      </c>
      <c r="D90" s="36">
        <f t="shared" si="90"/>
        <v>413</v>
      </c>
      <c r="K90" s="7">
        <f>C90</f>
        <v>413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500</v>
      </c>
      <c r="D92" s="36">
        <f>K92+P92+T92+Y92+AD92</f>
        <v>500</v>
      </c>
      <c r="K92" s="7">
        <f t="shared" ref="K92" si="100">SUM(F92:J92)</f>
        <v>0</v>
      </c>
      <c r="P92" s="7">
        <f>C92</f>
        <v>500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97505.2</v>
      </c>
      <c r="D93" s="36">
        <f>K93+P93+T93+Y93+AD93</f>
        <v>97505.2</v>
      </c>
      <c r="K93" s="36">
        <f>SUM(K45:K92)</f>
        <v>27020.816250000003</v>
      </c>
      <c r="P93" s="36">
        <f>SUM(P45:P92)</f>
        <v>25575.059999999998</v>
      </c>
      <c r="S93" s="36"/>
      <c r="T93" s="36">
        <f>SUM(T45:T92)</f>
        <v>6339.634</v>
      </c>
      <c r="Y93" s="36">
        <f>SUM(Y45:Y92)</f>
        <v>17551.063750000001</v>
      </c>
      <c r="AD93" s="36">
        <f>SUM(AD45:AD92)</f>
        <v>21018.626</v>
      </c>
    </row>
    <row r="94" spans="1:32" x14ac:dyDescent="0.25">
      <c r="A94" s="41"/>
      <c r="B94" s="27" t="s">
        <v>133</v>
      </c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1700</v>
      </c>
      <c r="D95" s="36">
        <f t="shared" ref="D95:D111" si="101">K95+P95+R95+Y95+AD95</f>
        <v>1700</v>
      </c>
      <c r="K95" s="36">
        <f>K70+K47</f>
        <v>0</v>
      </c>
      <c r="O95" s="7">
        <f>P95</f>
        <v>1530</v>
      </c>
      <c r="P95" s="36">
        <f>P70+P47</f>
        <v>1530</v>
      </c>
      <c r="R95" s="36">
        <f>T70+T47</f>
        <v>0</v>
      </c>
      <c r="S95" s="36"/>
      <c r="T95" s="36"/>
      <c r="Y95" s="36">
        <f>Y70+Y47</f>
        <v>0</v>
      </c>
      <c r="AC95" s="7">
        <f>AD95</f>
        <v>170</v>
      </c>
      <c r="AD95" s="36">
        <f>AD70+AD47</f>
        <v>170</v>
      </c>
      <c r="AF95" s="36">
        <f>K95+P95+R95+Y95+AD95</f>
        <v>1700</v>
      </c>
    </row>
    <row r="96" spans="1:32" x14ac:dyDescent="0.25">
      <c r="A96" s="26">
        <v>100000002975</v>
      </c>
      <c r="B96" s="29" t="s">
        <v>21</v>
      </c>
      <c r="C96" s="36">
        <f>C74+C73+C72+C71</f>
        <v>2775</v>
      </c>
      <c r="D96" s="36">
        <f t="shared" si="101"/>
        <v>2775</v>
      </c>
      <c r="J96" s="7">
        <f>K96</f>
        <v>906.76625000000013</v>
      </c>
      <c r="K96" s="36">
        <f>K74+K73+K72+K71</f>
        <v>906.76625000000013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249.74810999999994</v>
      </c>
      <c r="W96" s="7">
        <f>0.06*SUM(W99:W110)</f>
        <v>304.44282000000004</v>
      </c>
      <c r="X96" s="7">
        <f>0.06*SUM(X99:X110)</f>
        <v>304.44282000000004</v>
      </c>
      <c r="Y96" s="36">
        <f>Y74+Y73+Y72+Y71</f>
        <v>858.63374999999996</v>
      </c>
      <c r="AA96" s="7">
        <f>AD96*0.5</f>
        <v>504.80000000000007</v>
      </c>
      <c r="AB96" s="7">
        <f>AD96*0.25</f>
        <v>252.40000000000003</v>
      </c>
      <c r="AC96" s="7">
        <f>AD96*0.25</f>
        <v>252.40000000000003</v>
      </c>
      <c r="AD96" s="36">
        <f>AD74+AD73+AD72+AD71</f>
        <v>1009.6000000000001</v>
      </c>
      <c r="AF96" s="36">
        <f t="shared" ref="AF96:AF110" si="102">K96+P96+R96+Y96+AD96</f>
        <v>2775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1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2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1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2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22828</v>
      </c>
      <c r="D99" s="36">
        <f t="shared" si="101"/>
        <v>22828</v>
      </c>
      <c r="G99" s="7">
        <f>K99</f>
        <v>6111.25</v>
      </c>
      <c r="K99" s="36">
        <f>K64+K69+K91</f>
        <v>6111.25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3655.3960000000002</v>
      </c>
      <c r="W99" s="7">
        <f>Y99*0.3</f>
        <v>2741.547</v>
      </c>
      <c r="X99" s="7">
        <f>Y99*0.3</f>
        <v>2741.547</v>
      </c>
      <c r="Y99" s="36">
        <f>Y64+Y69+Y91</f>
        <v>9138.49</v>
      </c>
      <c r="AC99" s="7">
        <f>AD99</f>
        <v>7578.26</v>
      </c>
      <c r="AD99" s="36">
        <f>AD64+AD69+AD91</f>
        <v>7578.26</v>
      </c>
      <c r="AF99" s="36">
        <f t="shared" si="102"/>
        <v>22828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01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02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01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2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01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2"/>
        <v>1000</v>
      </c>
    </row>
    <row r="103" spans="1:32" x14ac:dyDescent="0.25">
      <c r="A103" s="26">
        <v>100000006047</v>
      </c>
      <c r="B103" s="29" t="s">
        <v>72</v>
      </c>
      <c r="C103" s="36">
        <f>C53+C92</f>
        <v>18899</v>
      </c>
      <c r="D103" s="36">
        <f t="shared" si="101"/>
        <v>18898.999999999996</v>
      </c>
      <c r="H103" s="7">
        <f>K103</f>
        <v>0</v>
      </c>
      <c r="K103" s="36">
        <f>K53+K92</f>
        <v>0</v>
      </c>
      <c r="N103" s="7">
        <f>P103*0.4</f>
        <v>7118.0239999999994</v>
      </c>
      <c r="O103" s="7">
        <f>P103*0.6</f>
        <v>10677.035999999998</v>
      </c>
      <c r="P103" s="36">
        <f>P53+P92</f>
        <v>17795.059999999998</v>
      </c>
      <c r="R103" s="36">
        <f>T53</f>
        <v>0</v>
      </c>
      <c r="S103" s="36"/>
      <c r="T103" s="36"/>
      <c r="V103" s="7">
        <f>Y103</f>
        <v>1103.94</v>
      </c>
      <c r="Y103" s="36">
        <f>Y53+Y92</f>
        <v>1103.94</v>
      </c>
      <c r="AD103" s="36">
        <f>AD53+AD92</f>
        <v>0</v>
      </c>
      <c r="AF103" s="36">
        <f t="shared" si="102"/>
        <v>18898.999999999996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1300</v>
      </c>
      <c r="D104" s="36">
        <f t="shared" si="101"/>
        <v>1300</v>
      </c>
      <c r="J104" s="7">
        <f>K104</f>
        <v>1300</v>
      </c>
      <c r="K104" s="36">
        <f>K90+K89+K58+K57+K56+K55</f>
        <v>1300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2"/>
        <v>1300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1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2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1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2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15941</v>
      </c>
      <c r="D107" s="36">
        <f t="shared" si="101"/>
        <v>15941.000000000002</v>
      </c>
      <c r="G107" s="7">
        <f>K107*0.25</f>
        <v>3188.2000000000003</v>
      </c>
      <c r="H107" s="7">
        <f>K107*0.75</f>
        <v>9564.6</v>
      </c>
      <c r="K107" s="36">
        <f>K65</f>
        <v>12752.800000000001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3188.2000000000003</v>
      </c>
      <c r="AD107" s="36">
        <f>AD65</f>
        <v>3188.2000000000003</v>
      </c>
      <c r="AF107" s="36">
        <f t="shared" si="102"/>
        <v>15941.000000000002</v>
      </c>
    </row>
    <row r="108" spans="1:32" x14ac:dyDescent="0.25">
      <c r="A108" s="26">
        <v>100000032221</v>
      </c>
      <c r="B108" s="29" t="s">
        <v>77</v>
      </c>
      <c r="C108" s="36">
        <f>C54</f>
        <v>6250</v>
      </c>
      <c r="D108" s="36">
        <f t="shared" si="101"/>
        <v>6250</v>
      </c>
      <c r="G108" s="7">
        <f>K108</f>
        <v>0</v>
      </c>
      <c r="K108" s="36">
        <f>K54</f>
        <v>0</v>
      </c>
      <c r="N108" s="7">
        <f>P108</f>
        <v>6250</v>
      </c>
      <c r="P108" s="36">
        <f>P54</f>
        <v>6250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D108" s="36">
        <f>AD54</f>
        <v>0</v>
      </c>
      <c r="AF108" s="36">
        <f t="shared" si="102"/>
        <v>6250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14362.2</v>
      </c>
      <c r="D109" s="36">
        <f>K109+P109+T109+Y109+AD109</f>
        <v>14362.2</v>
      </c>
      <c r="K109" s="36">
        <f>K83+K66+K49+K51+K52+K48+K75+K76</f>
        <v>0</v>
      </c>
      <c r="P109" s="36">
        <f>P83+P66+P49+P51+P52+P48+P75+P76</f>
        <v>0</v>
      </c>
      <c r="R109" s="36">
        <f>T35</f>
        <v>5772.634</v>
      </c>
      <c r="S109" s="36">
        <f>T36</f>
        <v>567</v>
      </c>
      <c r="T109" s="36">
        <f>T83+T66+T49+T51+T52+T48+T75+T76+T84+T85+T86+T87</f>
        <v>6339.634</v>
      </c>
      <c r="Y109" s="36">
        <f>Y83+Y66+Y49+Y51+Y52+Y48+Y75+Y76</f>
        <v>0</v>
      </c>
      <c r="AA109" s="7">
        <f>AD35</f>
        <v>6509.5660000000007</v>
      </c>
      <c r="AB109" s="7">
        <f>AD36</f>
        <v>1513</v>
      </c>
      <c r="AD109" s="36">
        <f>AD83+AD66+AD49+AD51+AD52+AD48+AD75+AD76+AD84+AD85+AD86+AD87</f>
        <v>8022.5660000000007</v>
      </c>
      <c r="AF109" s="36">
        <f t="shared" si="102"/>
        <v>13795.2</v>
      </c>
    </row>
    <row r="110" spans="1:32" x14ac:dyDescent="0.25">
      <c r="B110" s="19" t="s">
        <v>84</v>
      </c>
      <c r="C110" s="16">
        <f>C50</f>
        <v>500</v>
      </c>
      <c r="D110" s="36">
        <f t="shared" si="101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2"/>
        <v>500</v>
      </c>
    </row>
    <row r="111" spans="1:32" x14ac:dyDescent="0.25">
      <c r="B111" s="16" t="s">
        <v>94</v>
      </c>
      <c r="C111" s="16">
        <f>C77+C78+C79+C80</f>
        <v>1200</v>
      </c>
      <c r="D111" s="36">
        <f t="shared" si="101"/>
        <v>1200</v>
      </c>
      <c r="G111" s="7">
        <f>K111*0.5</f>
        <v>600</v>
      </c>
      <c r="H111" s="7">
        <f>K111*0.5</f>
        <v>600</v>
      </c>
      <c r="K111" s="16">
        <f>K77+K78+K79+K80</f>
        <v>1200</v>
      </c>
      <c r="P111" s="16">
        <f>P77+P78+P79+P80</f>
        <v>0</v>
      </c>
    </row>
    <row r="112" spans="1:32" x14ac:dyDescent="0.25">
      <c r="AC112" s="7">
        <f>AC100+AC99</f>
        <v>8628.26</v>
      </c>
    </row>
    <row r="113" spans="22:29" x14ac:dyDescent="0.25">
      <c r="AC113" s="7">
        <f>AC112/0.8</f>
        <v>10785.324999999999</v>
      </c>
    </row>
    <row r="114" spans="22:29" x14ac:dyDescent="0.25">
      <c r="AC114" s="7">
        <f>AC113*0.27</f>
        <v>2912.03775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CE117"/>
  <sheetViews>
    <sheetView topLeftCell="B4" zoomScaleNormal="100" workbookViewId="0">
      <pane xSplit="4" ySplit="4" topLeftCell="BM24" activePane="bottomRight" state="frozen"/>
      <selection activeCell="D53" sqref="D53"/>
      <selection pane="topRight" activeCell="D53" sqref="D53"/>
      <selection pane="bottomLeft" activeCell="D53" sqref="D53"/>
      <selection pane="bottomRight" activeCell="K27" sqref="K27:K39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0.3391965886514513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>
        <v>500</v>
      </c>
      <c r="N8" s="5">
        <v>700</v>
      </c>
      <c r="O8" s="5">
        <v>700</v>
      </c>
      <c r="P8" s="5">
        <f>SUM(M8:O8)</f>
        <v>1900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5770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:O10" si="1">M8*M9</f>
        <v>390</v>
      </c>
      <c r="N10" s="5">
        <f t="shared" si="1"/>
        <v>546</v>
      </c>
      <c r="O10" s="5">
        <f t="shared" si="1"/>
        <v>546</v>
      </c>
      <c r="P10" s="5">
        <f>SUM(M10:O10)</f>
        <v>1482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4523.2</v>
      </c>
    </row>
    <row r="11" spans="2:34" x14ac:dyDescent="0.25">
      <c r="B11" s="19" t="s">
        <v>12</v>
      </c>
      <c r="F11" s="5">
        <v>30</v>
      </c>
      <c r="G11" s="5">
        <v>30</v>
      </c>
      <c r="H11" s="5">
        <v>30</v>
      </c>
      <c r="I11" s="5">
        <v>30</v>
      </c>
      <c r="J11" s="5">
        <v>30</v>
      </c>
      <c r="K11" s="5"/>
      <c r="L11" s="3"/>
      <c r="M11" s="5">
        <v>30</v>
      </c>
      <c r="N11" s="5">
        <v>30</v>
      </c>
      <c r="O11" s="5">
        <v>30</v>
      </c>
      <c r="P11" s="5"/>
      <c r="Q11" s="67"/>
      <c r="R11" s="5">
        <v>30</v>
      </c>
      <c r="S11" s="5">
        <v>30</v>
      </c>
      <c r="T11" s="5"/>
      <c r="U11" s="67"/>
      <c r="V11" s="5">
        <v>30</v>
      </c>
      <c r="W11" s="5">
        <v>30</v>
      </c>
      <c r="X11" s="5">
        <v>30</v>
      </c>
      <c r="Y11" s="5"/>
      <c r="Z11" s="4"/>
      <c r="AA11" s="5">
        <v>30</v>
      </c>
      <c r="AB11" s="5">
        <v>30</v>
      </c>
      <c r="AC11" s="5">
        <v>30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26.75</v>
      </c>
      <c r="G15" s="40">
        <f t="shared" ref="G15:J15" si="5">G11-G12-G14-G13</f>
        <v>26.75</v>
      </c>
      <c r="H15" s="40">
        <f t="shared" si="5"/>
        <v>26.75</v>
      </c>
      <c r="I15" s="40">
        <f t="shared" si="5"/>
        <v>26.75</v>
      </c>
      <c r="J15" s="40">
        <f t="shared" si="5"/>
        <v>26.75</v>
      </c>
      <c r="K15" s="1"/>
      <c r="M15" s="40">
        <f>M11-M12-M14-M13</f>
        <v>26.75</v>
      </c>
      <c r="N15" s="40">
        <f t="shared" ref="N15:O15" si="6">N11-N12-N14-N13</f>
        <v>26.75</v>
      </c>
      <c r="O15" s="40">
        <f t="shared" si="6"/>
        <v>26.75</v>
      </c>
      <c r="P15" s="1"/>
      <c r="R15" s="40">
        <f>R11-R12-R14-R13</f>
        <v>27.75</v>
      </c>
      <c r="S15" s="40">
        <f t="shared" ref="S15" si="7">S11-S12-S14-S13</f>
        <v>27.75</v>
      </c>
      <c r="T15" s="40"/>
      <c r="V15" s="40">
        <f t="shared" ref="V15:X15" si="8">V11-V12-V14-V13</f>
        <v>26.75</v>
      </c>
      <c r="W15" s="40">
        <f t="shared" si="8"/>
        <v>26.75</v>
      </c>
      <c r="X15" s="40">
        <f t="shared" si="8"/>
        <v>26.75</v>
      </c>
      <c r="Y15" s="1"/>
      <c r="AA15" s="40">
        <f t="shared" ref="AA15:AC15" si="9">AA11-AA12-AA14-AA13</f>
        <v>27.75</v>
      </c>
      <c r="AB15" s="40">
        <f t="shared" si="9"/>
        <v>27.75</v>
      </c>
      <c r="AC15" s="40">
        <f t="shared" si="9"/>
        <v>27.25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0</v>
      </c>
      <c r="G17" s="1">
        <f t="shared" ref="G17:J17" si="10">G16*G15*G10</f>
        <v>9389.25</v>
      </c>
      <c r="H17" s="1">
        <f t="shared" si="10"/>
        <v>9389.25</v>
      </c>
      <c r="I17" s="1">
        <f t="shared" si="10"/>
        <v>4131.2699999999995</v>
      </c>
      <c r="J17" s="1">
        <f t="shared" si="10"/>
        <v>5070.1949999999997</v>
      </c>
      <c r="K17" s="5">
        <f>SUM(F17:J17)</f>
        <v>27979.965</v>
      </c>
      <c r="M17" s="1">
        <f t="shared" ref="M17:O17" si="11">M16*M15*M10</f>
        <v>9389.25</v>
      </c>
      <c r="N17" s="1">
        <f t="shared" si="11"/>
        <v>13144.949999999999</v>
      </c>
      <c r="O17" s="1">
        <f t="shared" si="11"/>
        <v>13144.949999999999</v>
      </c>
      <c r="P17" s="5">
        <f>SUM(M17:O17)</f>
        <v>35679.149999999994</v>
      </c>
      <c r="R17" s="1">
        <f>R16*R15*R10</f>
        <v>6010.65</v>
      </c>
      <c r="S17" s="1">
        <f t="shared" ref="S17" si="12">S16*S15*S10</f>
        <v>1834.8299999999997</v>
      </c>
      <c r="T17" s="1">
        <f>R17+S17</f>
        <v>7845.48</v>
      </c>
      <c r="V17" s="1">
        <f>V16*V15*V10</f>
        <v>7135.83</v>
      </c>
      <c r="W17" s="1">
        <f t="shared" ref="W17:X17" si="13">W16*W15*W10</f>
        <v>5351.8724999999995</v>
      </c>
      <c r="X17" s="1">
        <f t="shared" si="13"/>
        <v>5351.8724999999995</v>
      </c>
      <c r="Y17" s="5">
        <f>SUM(V17:X17)</f>
        <v>17839.574999999997</v>
      </c>
      <c r="AA17" s="70">
        <f>AA16*AA15*AA10</f>
        <v>6593.4000000000005</v>
      </c>
      <c r="AB17" s="70">
        <f>AB16*AB15*AB10</f>
        <v>3296.7000000000003</v>
      </c>
      <c r="AC17" s="1">
        <f t="shared" ref="AC17" si="14">AC16*AC15*AC10</f>
        <v>13562.325000000001</v>
      </c>
      <c r="AD17" s="5">
        <f>SUM(Z17:AC17)</f>
        <v>23452.425000000003</v>
      </c>
      <c r="AF17" s="1">
        <f>AD17+Y17+R17+P17+K17</f>
        <v>110961.76499999998</v>
      </c>
      <c r="AI17" s="46"/>
    </row>
    <row r="19" spans="2:83" x14ac:dyDescent="0.25">
      <c r="B19" s="19" t="s">
        <v>18</v>
      </c>
      <c r="C19" s="16">
        <f>C27+C29+C30+C31+C34+C28</f>
        <v>74644</v>
      </c>
      <c r="D19" s="16">
        <f>D27+D29+D30+D31+D34+D28</f>
        <v>74644</v>
      </c>
      <c r="F19" s="1">
        <f>F17</f>
        <v>0</v>
      </c>
      <c r="G19" s="1">
        <f t="shared" ref="G19:H19" si="15">G17</f>
        <v>9389.25</v>
      </c>
      <c r="H19" s="1">
        <f t="shared" si="15"/>
        <v>9389.25</v>
      </c>
      <c r="I19" s="1"/>
      <c r="J19" s="1"/>
      <c r="K19" s="5">
        <f t="shared" ref="K19:K25" si="16">SUM(F19:J19)</f>
        <v>18778.5</v>
      </c>
      <c r="M19" s="1">
        <f>M17*0.5</f>
        <v>4694.625</v>
      </c>
      <c r="N19" s="1">
        <f>N17*0.8</f>
        <v>10515.96</v>
      </c>
      <c r="O19" s="1">
        <f>O17</f>
        <v>13144.949999999999</v>
      </c>
      <c r="P19" s="5">
        <f t="shared" ref="P19:P25" si="17">SUM(M19:O19)</f>
        <v>28355.534999999996</v>
      </c>
      <c r="R19" s="1"/>
      <c r="S19" s="1"/>
      <c r="T19" s="1">
        <f t="shared" ref="T19:T24" si="18">R19+S19</f>
        <v>0</v>
      </c>
      <c r="V19" s="1">
        <f>V17-V23</f>
        <v>6586.92</v>
      </c>
      <c r="W19" s="1">
        <f t="shared" ref="W19:X19" si="19">W17-W23</f>
        <v>4940.1899999999996</v>
      </c>
      <c r="X19" s="1">
        <f t="shared" si="19"/>
        <v>4940.1899999999996</v>
      </c>
      <c r="Y19" s="5">
        <f t="shared" ref="Y19:Y25" si="20">SUM(V19:X19)</f>
        <v>16467.3</v>
      </c>
      <c r="AA19" s="1"/>
      <c r="AB19" s="1"/>
      <c r="AC19" s="1">
        <f>AC17*0.95</f>
        <v>12884.20875</v>
      </c>
      <c r="AD19" s="5">
        <f t="shared" ref="AD19:AD25" si="21">SUM(Z19:AC19)</f>
        <v>12884.20875</v>
      </c>
      <c r="AF19" s="1">
        <f t="shared" ref="AF19:AF25" si="22">AD19+Y19+R19+P19+K19</f>
        <v>76485.543749999997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2535.0974999999999</v>
      </c>
      <c r="K20" s="5">
        <f t="shared" si="16"/>
        <v>2535.0974999999999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2535.0974999999999</v>
      </c>
    </row>
    <row r="21" spans="2:83" x14ac:dyDescent="0.25">
      <c r="B21" s="19" t="s">
        <v>19</v>
      </c>
      <c r="C21" s="16">
        <f>C33</f>
        <v>1700</v>
      </c>
      <c r="D21" s="16">
        <f>D33</f>
        <v>1700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4694.625</v>
      </c>
      <c r="N21" s="1">
        <f>N17*0.2</f>
        <v>2628.99</v>
      </c>
      <c r="O21" s="1"/>
      <c r="P21" s="5">
        <f t="shared" si="17"/>
        <v>7323.6149999999998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7323.6149999999998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4131.2699999999995</v>
      </c>
      <c r="J22" s="1"/>
      <c r="K22" s="5">
        <f t="shared" si="16"/>
        <v>4131.2699999999995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4131.2699999999995</v>
      </c>
    </row>
    <row r="23" spans="2:83" x14ac:dyDescent="0.25">
      <c r="B23" s="19" t="s">
        <v>21</v>
      </c>
      <c r="C23" s="16">
        <f>C37+C38+C39</f>
        <v>4800</v>
      </c>
      <c r="D23" s="16">
        <f>D37+D38+D39</f>
        <v>4800</v>
      </c>
      <c r="F23" s="1"/>
      <c r="G23" s="1"/>
      <c r="H23" s="1"/>
      <c r="I23" s="1"/>
      <c r="J23" s="1">
        <f>J17*0.5</f>
        <v>2535.0974999999999</v>
      </c>
      <c r="K23" s="5">
        <f t="shared" si="16"/>
        <v>2535.0974999999999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548.91</v>
      </c>
      <c r="W23" s="1">
        <f t="shared" ref="W23:X23" si="23">(W17/W9)*0.06</f>
        <v>411.68249999999995</v>
      </c>
      <c r="X23" s="1">
        <f t="shared" si="23"/>
        <v>411.68249999999995</v>
      </c>
      <c r="Y23" s="5">
        <f t="shared" si="20"/>
        <v>1372.2749999999999</v>
      </c>
      <c r="AA23" s="1">
        <f>AA17*0.08</f>
        <v>527.47200000000009</v>
      </c>
      <c r="AB23" s="1">
        <f>AB17*0.08</f>
        <v>263.73600000000005</v>
      </c>
      <c r="AC23" s="1">
        <f>AC17*0.05</f>
        <v>678.11625000000004</v>
      </c>
      <c r="AD23" s="5">
        <f t="shared" si="21"/>
        <v>1469.3242500000001</v>
      </c>
      <c r="AF23" s="1">
        <f t="shared" si="22"/>
        <v>5376.6967500000001</v>
      </c>
    </row>
    <row r="24" spans="2:83" x14ac:dyDescent="0.25">
      <c r="B24" s="19" t="s">
        <v>91</v>
      </c>
      <c r="C24" s="16">
        <f>C35</f>
        <v>12282.2</v>
      </c>
      <c r="D24" s="16">
        <f>D35</f>
        <v>12282.2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6010.65</v>
      </c>
      <c r="S24" s="1"/>
      <c r="T24" s="1">
        <f t="shared" si="18"/>
        <v>6010.65</v>
      </c>
      <c r="V24" s="1"/>
      <c r="W24" s="1"/>
      <c r="X24" s="1"/>
      <c r="Y24" s="5">
        <f t="shared" si="20"/>
        <v>0</v>
      </c>
      <c r="AA24" s="1">
        <f>AA17-AA23</f>
        <v>6065.9280000000008</v>
      </c>
      <c r="AB24" s="1"/>
      <c r="AC24" s="1"/>
      <c r="AD24" s="5">
        <f t="shared" si="21"/>
        <v>6065.9280000000008</v>
      </c>
      <c r="AF24" s="1">
        <f t="shared" si="22"/>
        <v>12076.578000000001</v>
      </c>
    </row>
    <row r="25" spans="2:83" x14ac:dyDescent="0.25">
      <c r="B25" s="19" t="s">
        <v>126</v>
      </c>
      <c r="C25" s="16">
        <f>C36</f>
        <v>1880</v>
      </c>
      <c r="D25" s="16">
        <f>D36</f>
        <v>1880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1834.8299999999997</v>
      </c>
      <c r="T25" s="1">
        <f>R25+S25</f>
        <v>1834.8299999999997</v>
      </c>
      <c r="V25" s="1"/>
      <c r="W25" s="1"/>
      <c r="X25" s="1"/>
      <c r="Y25" s="5">
        <f t="shared" si="20"/>
        <v>0</v>
      </c>
      <c r="AA25" s="1"/>
      <c r="AB25" s="1">
        <f>AB17-AB23</f>
        <v>3032.9640000000004</v>
      </c>
      <c r="AC25" s="1"/>
      <c r="AD25" s="5">
        <f t="shared" si="21"/>
        <v>3032.9640000000004</v>
      </c>
      <c r="AF25" s="1">
        <f t="shared" si="22"/>
        <v>3032.9640000000004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23780</v>
      </c>
      <c r="D27" s="16">
        <f>D64+D68+D69+D82+D91</f>
        <v>23780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7098.5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9119.2199999999993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7562.2800000000007</v>
      </c>
      <c r="AH27" s="59" t="str">
        <f>B27</f>
        <v>Mix and Bake</v>
      </c>
      <c r="AI27" s="1">
        <f>K27</f>
        <v>7098.5</v>
      </c>
      <c r="AJ27" s="1">
        <f>P27</f>
        <v>0</v>
      </c>
      <c r="AK27" s="1">
        <f t="shared" ref="AK27:AK39" si="26">T27</f>
        <v>0</v>
      </c>
      <c r="AL27" s="1">
        <f>Y27</f>
        <v>9119.2199999999993</v>
      </c>
      <c r="AM27" s="1">
        <f>AD27</f>
        <v>7562.2800000000007</v>
      </c>
      <c r="AN27" s="1">
        <f>SUM(AI27:AM27)</f>
        <v>23780</v>
      </c>
      <c r="AP27" s="7">
        <f>AI27/0.78</f>
        <v>9100.6410256410254</v>
      </c>
      <c r="AQ27" s="7">
        <f>AJ27/0.78</f>
        <v>0</v>
      </c>
      <c r="AR27" s="7">
        <f>AK27/0.78</f>
        <v>0</v>
      </c>
      <c r="AS27" s="7">
        <f>AL27/0.78</f>
        <v>11691.307692307691</v>
      </c>
      <c r="AT27" s="7">
        <f>AM27/0.78</f>
        <v>9695.2307692307695</v>
      </c>
      <c r="AU27" s="7">
        <f>SUM(AP27:AT27)</f>
        <v>30487.179487179488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2275.1602564102564</v>
      </c>
      <c r="BD27" s="7">
        <f>AX27*AQ27</f>
        <v>0</v>
      </c>
      <c r="BE27" s="7">
        <f>AY27*AR27</f>
        <v>0</v>
      </c>
      <c r="BF27" s="7">
        <f>AZ27*AS27</f>
        <v>2922.8269230769229</v>
      </c>
      <c r="BG27" s="7">
        <f>BA27*AT27</f>
        <v>2423.8076923076924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6825.4807692307695</v>
      </c>
      <c r="BP27" s="7">
        <f>BJ27*AQ27</f>
        <v>0</v>
      </c>
      <c r="BQ27" s="7">
        <f>BK27*AR27</f>
        <v>0</v>
      </c>
      <c r="BR27" s="7">
        <f>BL27*AS27</f>
        <v>8768.4807692307695</v>
      </c>
      <c r="BS27" s="7">
        <f>BM27*AT27</f>
        <v>7271.4230769230771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5950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1050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5950</v>
      </c>
      <c r="AM28" s="1">
        <f t="shared" ref="AM28:AM39" si="34">AD28</f>
        <v>1050</v>
      </c>
      <c r="AN28" s="1">
        <f t="shared" ref="AN28:AN39" si="35">SUM(AI28:AM28)</f>
        <v>7000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7628.2051282051279</v>
      </c>
      <c r="AT28" s="7">
        <f t="shared" si="36"/>
        <v>1346.1538461538462</v>
      </c>
      <c r="AU28" s="7">
        <f t="shared" ref="AU28:AU39" si="37">SUM(AP28:AT28)</f>
        <v>8974.3589743589746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2288.4615384615381</v>
      </c>
      <c r="BG28" s="7">
        <f t="shared" si="38"/>
        <v>403.84615384615387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5339.7435897435889</v>
      </c>
      <c r="BS28" s="7">
        <f t="shared" si="39"/>
        <v>942.30769230769226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21137</v>
      </c>
      <c r="D29" s="16">
        <f>D53+D92</f>
        <v>21137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19898.78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1238.22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19898.78</v>
      </c>
      <c r="AK29" s="1">
        <f t="shared" si="26"/>
        <v>0</v>
      </c>
      <c r="AL29" s="1">
        <f t="shared" si="33"/>
        <v>1238.22</v>
      </c>
      <c r="AM29" s="1">
        <f t="shared" si="34"/>
        <v>0</v>
      </c>
      <c r="AN29" s="1">
        <f t="shared" si="35"/>
        <v>21137</v>
      </c>
      <c r="AP29" s="7">
        <f t="shared" si="36"/>
        <v>0</v>
      </c>
      <c r="AQ29" s="7">
        <f t="shared" si="36"/>
        <v>25511.256410256407</v>
      </c>
      <c r="AR29" s="7">
        <f t="shared" si="36"/>
        <v>0</v>
      </c>
      <c r="AS29" s="7">
        <f t="shared" si="36"/>
        <v>1587.4615384615383</v>
      </c>
      <c r="AT29" s="7">
        <f t="shared" si="36"/>
        <v>0</v>
      </c>
      <c r="AU29" s="7">
        <f t="shared" si="37"/>
        <v>27098.717948717946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38"/>
        <v>0</v>
      </c>
      <c r="BD29" s="7">
        <f t="shared" si="38"/>
        <v>15306.753846153842</v>
      </c>
      <c r="BE29" s="7">
        <f t="shared" si="38"/>
        <v>0</v>
      </c>
      <c r="BF29" s="7">
        <f t="shared" si="38"/>
        <v>952.47692307692296</v>
      </c>
      <c r="BG29" s="7">
        <f t="shared" si="38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10204.502564102564</v>
      </c>
      <c r="BQ29" s="7">
        <f t="shared" si="39"/>
        <v>0</v>
      </c>
      <c r="BR29" s="7">
        <f t="shared" si="39"/>
        <v>634.98461538461538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6250</v>
      </c>
      <c r="D30" s="16">
        <f>D54</f>
        <v>6250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6250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0</v>
      </c>
      <c r="AH30" s="59" t="str">
        <f t="shared" si="45"/>
        <v>Bakewell</v>
      </c>
      <c r="AI30" s="1">
        <f t="shared" si="31"/>
        <v>0</v>
      </c>
      <c r="AJ30" s="1">
        <f t="shared" si="32"/>
        <v>6250</v>
      </c>
      <c r="AK30" s="1">
        <f t="shared" si="26"/>
        <v>0</v>
      </c>
      <c r="AL30" s="1">
        <f t="shared" si="33"/>
        <v>0</v>
      </c>
      <c r="AM30" s="1">
        <f t="shared" si="34"/>
        <v>0</v>
      </c>
      <c r="AN30" s="1">
        <f t="shared" si="35"/>
        <v>6250</v>
      </c>
      <c r="AP30" s="7">
        <f t="shared" si="36"/>
        <v>0</v>
      </c>
      <c r="AQ30" s="7">
        <f t="shared" si="36"/>
        <v>8012.8205128205127</v>
      </c>
      <c r="AR30" s="7">
        <f t="shared" si="36"/>
        <v>0</v>
      </c>
      <c r="AS30" s="7">
        <f t="shared" si="36"/>
        <v>0</v>
      </c>
      <c r="AT30" s="7">
        <f t="shared" si="36"/>
        <v>0</v>
      </c>
      <c r="AU30" s="7">
        <f t="shared" si="37"/>
        <v>8012.8205128205127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38"/>
        <v>0</v>
      </c>
      <c r="BD30" s="7">
        <f t="shared" si="38"/>
        <v>801.28205128205127</v>
      </c>
      <c r="BE30" s="7">
        <f t="shared" si="38"/>
        <v>0</v>
      </c>
      <c r="BF30" s="7">
        <f t="shared" si="38"/>
        <v>0</v>
      </c>
      <c r="BG30" s="7">
        <f t="shared" si="38"/>
        <v>0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46"/>
        <v>0</v>
      </c>
      <c r="BP30" s="7">
        <f t="shared" si="39"/>
        <v>7211.5384615384619</v>
      </c>
      <c r="BQ30" s="7">
        <f t="shared" si="39"/>
        <v>0</v>
      </c>
      <c r="BR30" s="7">
        <f t="shared" si="39"/>
        <v>0</v>
      </c>
      <c r="BS30" s="7">
        <f t="shared" si="39"/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15977</v>
      </c>
      <c r="D31" s="16">
        <f>D65</f>
        <v>15977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11982.75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3994.25</v>
      </c>
      <c r="AH31" s="59" t="str">
        <f t="shared" si="45"/>
        <v>Bua Premium</v>
      </c>
      <c r="AI31" s="1">
        <f t="shared" si="31"/>
        <v>11982.75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3994.25</v>
      </c>
      <c r="AN31" s="1">
        <f t="shared" si="35"/>
        <v>15977</v>
      </c>
      <c r="AP31" s="7">
        <f t="shared" si="36"/>
        <v>15362.5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5120.833333333333</v>
      </c>
      <c r="AU31" s="7">
        <f t="shared" si="37"/>
        <v>20483.333333333332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46"/>
        <v>15362.5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5120.833333333333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3750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3750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3750</v>
      </c>
      <c r="AP32" s="7">
        <f t="shared" si="36"/>
        <v>4807.6923076923076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4807.6923076923076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46"/>
        <v>480.76923076923077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4326.9230769230771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1700</v>
      </c>
      <c r="D33" s="16">
        <f>D47+D70</f>
        <v>1700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1530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170</v>
      </c>
      <c r="AH33" s="59" t="str">
        <f t="shared" si="45"/>
        <v>Noodles Flour</v>
      </c>
      <c r="AI33" s="1">
        <f t="shared" si="31"/>
        <v>0</v>
      </c>
      <c r="AJ33" s="1">
        <f t="shared" si="32"/>
        <v>1530</v>
      </c>
      <c r="AK33" s="1">
        <f t="shared" si="26"/>
        <v>0</v>
      </c>
      <c r="AL33" s="1">
        <f t="shared" si="33"/>
        <v>0</v>
      </c>
      <c r="AM33" s="1">
        <f t="shared" si="34"/>
        <v>170</v>
      </c>
      <c r="AN33" s="1">
        <f t="shared" si="35"/>
        <v>1700</v>
      </c>
      <c r="AP33" s="7">
        <f t="shared" si="36"/>
        <v>0</v>
      </c>
      <c r="AQ33" s="7">
        <f t="shared" si="36"/>
        <v>1961.5384615384614</v>
      </c>
      <c r="AR33" s="7">
        <f t="shared" si="36"/>
        <v>0</v>
      </c>
      <c r="AS33" s="7">
        <f t="shared" si="36"/>
        <v>0</v>
      </c>
      <c r="AT33" s="7">
        <f t="shared" si="36"/>
        <v>217.94871794871793</v>
      </c>
      <c r="AU33" s="7">
        <f t="shared" si="37"/>
        <v>2179.4871794871792</v>
      </c>
      <c r="AW33" s="46">
        <v>0.2</v>
      </c>
      <c r="AX33" s="46">
        <v>0.2</v>
      </c>
      <c r="AY33" s="46">
        <v>0.2</v>
      </c>
      <c r="AZ33" s="46">
        <v>0.2</v>
      </c>
      <c r="BA33" s="46">
        <v>0.2</v>
      </c>
      <c r="BC33" s="7">
        <f t="shared" si="38"/>
        <v>0</v>
      </c>
      <c r="BD33" s="7">
        <f t="shared" si="38"/>
        <v>392.30769230769232</v>
      </c>
      <c r="BE33" s="7">
        <f t="shared" si="38"/>
        <v>0</v>
      </c>
      <c r="BF33" s="7">
        <f t="shared" si="38"/>
        <v>0</v>
      </c>
      <c r="BG33" s="7">
        <f t="shared" si="38"/>
        <v>43.589743589743591</v>
      </c>
      <c r="BI33" s="46">
        <v>0.8</v>
      </c>
      <c r="BJ33" s="46">
        <v>0.8</v>
      </c>
      <c r="BK33" s="46">
        <v>0.8</v>
      </c>
      <c r="BL33" s="46">
        <v>0.8</v>
      </c>
      <c r="BM33" s="46">
        <v>0.8</v>
      </c>
      <c r="BO33" s="7">
        <f t="shared" si="46"/>
        <v>0</v>
      </c>
      <c r="BP33" s="7">
        <f t="shared" si="39"/>
        <v>1569.2307692307693</v>
      </c>
      <c r="BQ33" s="7">
        <f t="shared" si="39"/>
        <v>0</v>
      </c>
      <c r="BR33" s="7">
        <f t="shared" si="39"/>
        <v>0</v>
      </c>
      <c r="BS33" s="7">
        <f t="shared" si="39"/>
        <v>174.35897435897436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160.25641025641025</v>
      </c>
      <c r="BG34" s="7">
        <f t="shared" si="38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480.76923076923072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12282.2</v>
      </c>
      <c r="D35" s="16">
        <f>D48+D66+D75+D76</f>
        <v>12282.2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5772.634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6509.5660000000007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5772.634</v>
      </c>
      <c r="AL35" s="1">
        <f t="shared" si="33"/>
        <v>0</v>
      </c>
      <c r="AM35" s="1">
        <f t="shared" si="34"/>
        <v>6509.5660000000007</v>
      </c>
      <c r="AN35" s="1">
        <f t="shared" si="35"/>
        <v>12282.2</v>
      </c>
      <c r="AP35" s="7">
        <f t="shared" si="36"/>
        <v>0</v>
      </c>
      <c r="AQ35" s="7">
        <f t="shared" si="36"/>
        <v>0</v>
      </c>
      <c r="AR35" s="7">
        <f t="shared" si="36"/>
        <v>7400.8128205128205</v>
      </c>
      <c r="AS35" s="7">
        <f t="shared" si="36"/>
        <v>0</v>
      </c>
      <c r="AT35" s="7">
        <f t="shared" si="36"/>
        <v>8345.5974358974363</v>
      </c>
      <c r="AU35" s="7">
        <f t="shared" si="37"/>
        <v>15746.410256410258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46"/>
        <v>0</v>
      </c>
      <c r="BP35" s="7">
        <f t="shared" si="39"/>
        <v>0</v>
      </c>
      <c r="BQ35" s="7">
        <f t="shared" si="39"/>
        <v>7400.8128205128205</v>
      </c>
      <c r="BR35" s="7">
        <f t="shared" si="39"/>
        <v>0</v>
      </c>
      <c r="BS35" s="7">
        <f t="shared" si="39"/>
        <v>8345.5974358974363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1880</v>
      </c>
      <c r="D36" s="16">
        <f>D49+D51+D52+D83+D88+D84+D85+D86+D87</f>
        <v>1880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537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1343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537</v>
      </c>
      <c r="AL36" s="1">
        <f t="shared" si="33"/>
        <v>0</v>
      </c>
      <c r="AM36" s="1">
        <f t="shared" si="34"/>
        <v>1343</v>
      </c>
      <c r="AN36" s="1">
        <f t="shared" si="35"/>
        <v>1880</v>
      </c>
      <c r="AP36" s="7">
        <f t="shared" si="36"/>
        <v>0</v>
      </c>
      <c r="AQ36" s="7">
        <f t="shared" si="36"/>
        <v>0</v>
      </c>
      <c r="AR36" s="7">
        <f t="shared" si="36"/>
        <v>688.46153846153845</v>
      </c>
      <c r="AS36" s="7">
        <f t="shared" si="36"/>
        <v>0</v>
      </c>
      <c r="AT36" s="7">
        <f t="shared" si="36"/>
        <v>1721.7948717948718</v>
      </c>
      <c r="AU36" s="7">
        <f t="shared" si="37"/>
        <v>2410.2564102564102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46"/>
        <v>0</v>
      </c>
      <c r="BP36" s="7">
        <f t="shared" si="39"/>
        <v>0</v>
      </c>
      <c r="BQ36" s="7">
        <f t="shared" si="39"/>
        <v>688.46153846153845</v>
      </c>
      <c r="BR36" s="7">
        <f t="shared" si="39"/>
        <v>0</v>
      </c>
      <c r="BS36" s="7">
        <f t="shared" si="39"/>
        <v>1721.7948717948718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2500</v>
      </c>
      <c r="D37" s="16">
        <f>D71+D72+D73+D74</f>
        <v>2500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698.42124999999999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891.97874999999999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909.6</v>
      </c>
      <c r="AH37" s="59" t="str">
        <f t="shared" si="45"/>
        <v>Supreme Semolina</v>
      </c>
      <c r="AI37" s="1">
        <f t="shared" si="31"/>
        <v>698.42124999999999</v>
      </c>
      <c r="AJ37" s="1">
        <f t="shared" si="32"/>
        <v>0</v>
      </c>
      <c r="AK37" s="1">
        <f t="shared" si="26"/>
        <v>0</v>
      </c>
      <c r="AL37" s="1">
        <f t="shared" si="33"/>
        <v>891.97874999999999</v>
      </c>
      <c r="AM37" s="1">
        <f t="shared" si="34"/>
        <v>909.6</v>
      </c>
      <c r="AN37" s="1">
        <f t="shared" si="35"/>
        <v>2500</v>
      </c>
      <c r="AP37" s="7">
        <f t="shared" si="36"/>
        <v>895.41185897435889</v>
      </c>
      <c r="AQ37" s="7">
        <f t="shared" si="36"/>
        <v>0</v>
      </c>
      <c r="AR37" s="7">
        <f t="shared" si="36"/>
        <v>0</v>
      </c>
      <c r="AS37" s="7">
        <f t="shared" si="36"/>
        <v>1143.5625</v>
      </c>
      <c r="AT37" s="7">
        <f t="shared" si="36"/>
        <v>1166.1538461538462</v>
      </c>
      <c r="AU37" s="7">
        <f t="shared" si="37"/>
        <v>3205.1282051282051</v>
      </c>
      <c r="AW37" s="46">
        <v>0.3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38"/>
        <v>268.62355769230766</v>
      </c>
      <c r="BD37" s="7">
        <f t="shared" si="38"/>
        <v>0</v>
      </c>
      <c r="BE37" s="7">
        <f t="shared" si="38"/>
        <v>0</v>
      </c>
      <c r="BF37" s="7">
        <f t="shared" si="38"/>
        <v>285.890625</v>
      </c>
      <c r="BG37" s="7">
        <f t="shared" si="38"/>
        <v>291.53846153846155</v>
      </c>
      <c r="BI37" s="46">
        <v>0.75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46"/>
        <v>671.55889423076917</v>
      </c>
      <c r="BP37" s="7">
        <f t="shared" si="39"/>
        <v>0</v>
      </c>
      <c r="BQ37" s="7">
        <f t="shared" si="39"/>
        <v>0</v>
      </c>
      <c r="BR37" s="7">
        <f t="shared" si="39"/>
        <v>857.671875</v>
      </c>
      <c r="BS37" s="7">
        <f t="shared" si="39"/>
        <v>874.61538461538464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1200</v>
      </c>
      <c r="D38" s="16">
        <f>D55+D56+D57+D58+D89+D90</f>
        <v>1200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1200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1200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1200</v>
      </c>
      <c r="AP38" s="7">
        <f t="shared" si="36"/>
        <v>1538.4615384615383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1538.4615384615383</v>
      </c>
      <c r="AW38" s="46">
        <v>0.3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38"/>
        <v>461.53846153846149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0.7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46"/>
        <v>1076.9230769230767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1100</v>
      </c>
      <c r="D39" s="16">
        <f>D77+D78+D79+D80</f>
        <v>1100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1100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1100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1100</v>
      </c>
      <c r="AP39" s="7">
        <f t="shared" si="36"/>
        <v>1410.2564102564102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1410.2564102564102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38"/>
        <v>352.56410256410254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46"/>
        <v>1057.6923076923076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99056.2</v>
      </c>
      <c r="D40" s="33">
        <f>SUM(D27:D39)</f>
        <v>99056.2</v>
      </c>
      <c r="E40" s="8"/>
      <c r="F40" s="47">
        <v>0</v>
      </c>
      <c r="G40" s="47">
        <f>SUM(G95:G110)/G17</f>
        <v>0.96857443352770456</v>
      </c>
      <c r="H40" s="47">
        <f>SUM(H95:H110)/H17</f>
        <v>0.95716510903426788</v>
      </c>
      <c r="I40" s="47">
        <f>SUM(I95:I110)/I17</f>
        <v>0.90771118808501994</v>
      </c>
      <c r="J40" s="47">
        <f>(J96+J104)/J23</f>
        <v>0.74885532016027001</v>
      </c>
      <c r="K40" s="47">
        <f>K93/K17</f>
        <v>0.92314880486805484</v>
      </c>
      <c r="L40" s="8"/>
      <c r="M40" s="47">
        <f>SUM(M95:M110)/M17</f>
        <v>0.6656548712623479</v>
      </c>
      <c r="N40" s="47">
        <f>SUM(N95:N110)/N17</f>
        <v>0.72191313013742919</v>
      </c>
      <c r="O40" s="47">
        <f>SUM(O95:O110)/O17</f>
        <v>0.90827793182933358</v>
      </c>
      <c r="P40" s="48">
        <f>P93/P17</f>
        <v>0.77576904158310955</v>
      </c>
      <c r="Q40" s="8"/>
      <c r="R40" s="47">
        <f>SUM(R95:R110)/R17</f>
        <v>0.96040095497159217</v>
      </c>
      <c r="S40" s="47">
        <f t="shared" ref="S40:T40" si="85">SUM(S95:S110)/S17</f>
        <v>0.29267016562842341</v>
      </c>
      <c r="T40" s="47">
        <f t="shared" si="85"/>
        <v>0.80423810907681881</v>
      </c>
      <c r="U40" s="8"/>
      <c r="V40" s="47">
        <f>SUM(V95:V110)/V17</f>
        <v>0.9746161035226456</v>
      </c>
      <c r="W40" s="47">
        <f>SUM(W95:W110)/W17</f>
        <v>1.0038284656445011</v>
      </c>
      <c r="X40" s="47">
        <f>SUM(X95:X110)/X17</f>
        <v>1.0038284656445011</v>
      </c>
      <c r="Y40" s="47">
        <f>Y93/Y17</f>
        <v>0.99214352079575885</v>
      </c>
      <c r="Z40" s="8"/>
      <c r="AA40" s="47">
        <f>SUM(AA95:AA110)/AA17</f>
        <v>1.0562632329298995</v>
      </c>
      <c r="AB40" s="47">
        <f>SUM(AB95:AB110)/AB17</f>
        <v>0.4763551430218097</v>
      </c>
      <c r="AC40" s="47">
        <f>SUM(AC95:AC110)/AC17</f>
        <v>0.9588274871749497</v>
      </c>
      <c r="AD40" s="47">
        <f>AD93/AD17</f>
        <v>0.91839952584860618</v>
      </c>
      <c r="AE40" s="8"/>
      <c r="AF40" s="8"/>
      <c r="AG40" s="54"/>
      <c r="AH40" s="61"/>
      <c r="AI40" s="59">
        <f>SUM(AI27:AI39)</f>
        <v>25829.671249999999</v>
      </c>
      <c r="AJ40" s="59">
        <f t="shared" ref="AJ40:AN40" si="86">SUM(AJ27:AJ39)</f>
        <v>27678.78</v>
      </c>
      <c r="AK40" s="59">
        <f t="shared" si="86"/>
        <v>6309.634</v>
      </c>
      <c r="AL40" s="59">
        <f t="shared" si="86"/>
        <v>17699.418749999997</v>
      </c>
      <c r="AM40" s="59">
        <f t="shared" si="86"/>
        <v>21538.696</v>
      </c>
      <c r="AN40" s="59">
        <f t="shared" si="86"/>
        <v>99056.2</v>
      </c>
      <c r="AO40" s="57"/>
      <c r="AP40" s="57">
        <f t="shared" si="36"/>
        <v>33114.963141025641</v>
      </c>
      <c r="AQ40" s="57">
        <f t="shared" si="36"/>
        <v>35485.615384615383</v>
      </c>
      <c r="AR40" s="57">
        <f t="shared" si="36"/>
        <v>8089.2743589743586</v>
      </c>
      <c r="AS40" s="57">
        <f t="shared" si="36"/>
        <v>22691.562499999996</v>
      </c>
      <c r="AT40" s="57">
        <f t="shared" si="36"/>
        <v>27613.712820512821</v>
      </c>
      <c r="AU40" s="57">
        <f t="shared" si="36"/>
        <v>126995.1282051282</v>
      </c>
      <c r="AV40" s="57"/>
      <c r="AW40" s="57"/>
      <c r="AX40" s="57"/>
      <c r="AY40" s="57"/>
      <c r="AZ40" s="57"/>
      <c r="BA40" s="57"/>
      <c r="BB40" s="57"/>
      <c r="BC40" s="57">
        <f>SUM(BC27:BC39)</f>
        <v>3357.886378205128</v>
      </c>
      <c r="BD40" s="57">
        <f t="shared" ref="BD40:BG40" si="87">SUM(BD27:BD39)</f>
        <v>16500.343589743585</v>
      </c>
      <c r="BE40" s="57">
        <f t="shared" si="87"/>
        <v>0</v>
      </c>
      <c r="BF40" s="57">
        <f t="shared" si="87"/>
        <v>6609.9124198717946</v>
      </c>
      <c r="BG40" s="57">
        <f t="shared" si="87"/>
        <v>3162.7820512820513</v>
      </c>
      <c r="BH40" s="57"/>
      <c r="BI40" s="57"/>
      <c r="BJ40" s="57"/>
      <c r="BK40" s="57"/>
      <c r="BL40" s="57"/>
      <c r="BM40" s="57"/>
      <c r="BN40" s="57"/>
      <c r="BO40" s="57">
        <f>SUM(BO27:BO39)</f>
        <v>25474.924278846156</v>
      </c>
      <c r="BP40" s="57">
        <f t="shared" ref="BP40:BS40" si="88">SUM(BP27:BP39)</f>
        <v>18985.271794871795</v>
      </c>
      <c r="BQ40" s="57">
        <f t="shared" si="88"/>
        <v>8089.2743589743586</v>
      </c>
      <c r="BR40" s="57">
        <f t="shared" si="88"/>
        <v>16081.650080128205</v>
      </c>
      <c r="BS40" s="57">
        <f t="shared" si="88"/>
        <v>24450.930769230767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19858.229967948711</v>
      </c>
      <c r="BD41" s="84"/>
      <c r="BE41" s="84"/>
      <c r="BF41" s="7">
        <f>BF40</f>
        <v>6609.9124198717946</v>
      </c>
      <c r="BG41" s="7">
        <f>BG40</f>
        <v>3162.7820512820513</v>
      </c>
      <c r="BO41" s="84">
        <f>SUM(BO40:BQ40)</f>
        <v>52549.470432692309</v>
      </c>
      <c r="BP41" s="84"/>
      <c r="BQ41" s="84"/>
      <c r="BR41" s="7">
        <f>BR40</f>
        <v>16081.650080128205</v>
      </c>
      <c r="BS41" s="7">
        <f>BS40</f>
        <v>24450.930769230767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97094</v>
      </c>
      <c r="BC42" s="71">
        <f>BC41/4.33</f>
        <v>4586.1962974477392</v>
      </c>
      <c r="BD42" s="71"/>
      <c r="BE42" s="71"/>
      <c r="BF42" s="7">
        <f>BF41/4.33</f>
        <v>1526.5386650974121</v>
      </c>
      <c r="BG42" s="7">
        <f>BG41/4.33</f>
        <v>730.43465387576236</v>
      </c>
      <c r="BO42" s="71">
        <f>BO41/4.33</f>
        <v>12136.136358589447</v>
      </c>
      <c r="BP42" s="71"/>
      <c r="BQ42" s="71"/>
      <c r="BR42" s="7">
        <f>BR41/4.33</f>
        <v>3714.0069469118257</v>
      </c>
      <c r="BS42" s="7">
        <f>BS41/4.33</f>
        <v>5646.8662284597613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0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283</v>
      </c>
      <c r="D48" s="36">
        <f t="shared" si="90"/>
        <v>283</v>
      </c>
      <c r="K48" s="7">
        <f t="shared" si="94"/>
        <v>0</v>
      </c>
      <c r="P48" s="7">
        <f t="shared" si="91"/>
        <v>0</v>
      </c>
      <c r="T48" s="43">
        <f>T66*2.5%</f>
        <v>133.01</v>
      </c>
      <c r="Y48" s="7">
        <f t="shared" si="92"/>
        <v>0</v>
      </c>
      <c r="AD48" s="43">
        <f>AD66*2.5%</f>
        <v>149.99</v>
      </c>
    </row>
    <row r="49" spans="1:30" x14ac:dyDescent="0.25">
      <c r="A49" s="26"/>
      <c r="B49" s="29" t="s">
        <v>85</v>
      </c>
      <c r="C49" s="36">
        <v>150</v>
      </c>
      <c r="D49" s="36">
        <f t="shared" si="90"/>
        <v>150</v>
      </c>
      <c r="K49" s="7">
        <f t="shared" si="94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0"/>
        <v>500</v>
      </c>
      <c r="K50" s="7">
        <f t="shared" si="94"/>
        <v>0</v>
      </c>
      <c r="P50" s="7">
        <f t="shared" si="91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1343</v>
      </c>
      <c r="D51" s="36">
        <f t="shared" si="90"/>
        <v>1343</v>
      </c>
      <c r="K51" s="7">
        <f t="shared" si="94"/>
        <v>0</v>
      </c>
      <c r="P51" s="7">
        <f t="shared" si="91"/>
        <v>0</v>
      </c>
      <c r="Y51" s="7">
        <f t="shared" si="92"/>
        <v>0</v>
      </c>
      <c r="AD51" s="7">
        <f>C51</f>
        <v>1343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0"/>
        <v>150</v>
      </c>
      <c r="K52" s="7">
        <f t="shared" si="94"/>
        <v>0</v>
      </c>
      <c r="P52" s="7">
        <f t="shared" si="91"/>
        <v>0</v>
      </c>
      <c r="T52" s="7">
        <f>C52</f>
        <v>150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20637</v>
      </c>
      <c r="D53" s="36">
        <f t="shared" si="90"/>
        <v>20637</v>
      </c>
      <c r="K53" s="7">
        <v>0</v>
      </c>
      <c r="P53" s="7">
        <f>C53*0.94</f>
        <v>19398.78</v>
      </c>
      <c r="Y53" s="7">
        <f>C53*0.06</f>
        <v>1238.22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6250</v>
      </c>
      <c r="D54" s="36">
        <f t="shared" si="90"/>
        <v>6250</v>
      </c>
      <c r="F54" s="37"/>
      <c r="G54" s="37"/>
      <c r="H54" s="37"/>
      <c r="I54" s="37"/>
      <c r="J54" s="37"/>
      <c r="K54" s="7">
        <v>0</v>
      </c>
      <c r="P54" s="7">
        <f>C54</f>
        <v>6250</v>
      </c>
      <c r="Y54" s="7">
        <v>0</v>
      </c>
      <c r="AD54" s="7">
        <v>0</v>
      </c>
    </row>
    <row r="55" spans="1:30" x14ac:dyDescent="0.25">
      <c r="A55" s="26">
        <v>100000006028</v>
      </c>
      <c r="B55" s="27" t="s">
        <v>32</v>
      </c>
      <c r="C55" s="45">
        <v>15</v>
      </c>
      <c r="D55" s="36">
        <f t="shared" si="90"/>
        <v>15</v>
      </c>
      <c r="F55" s="37"/>
      <c r="G55" s="37"/>
      <c r="H55" s="37"/>
      <c r="I55" s="37"/>
      <c r="J55" s="37"/>
      <c r="K55" s="7">
        <f>C55</f>
        <v>15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>
        <v>11</v>
      </c>
      <c r="D56" s="36">
        <f t="shared" si="90"/>
        <v>11</v>
      </c>
      <c r="F56" s="38"/>
      <c r="G56" s="38"/>
      <c r="H56" s="38"/>
      <c r="I56" s="38"/>
      <c r="J56" s="38"/>
      <c r="K56" s="7">
        <f t="shared" ref="K56:K58" si="95">C56</f>
        <v>11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64</v>
      </c>
      <c r="D57" s="36">
        <f t="shared" si="90"/>
        <v>64</v>
      </c>
      <c r="F57" s="38"/>
      <c r="G57" s="38"/>
      <c r="H57" s="38"/>
      <c r="I57" s="38"/>
      <c r="J57" s="38"/>
      <c r="K57" s="7">
        <f t="shared" si="95"/>
        <v>64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204</v>
      </c>
      <c r="D58" s="36">
        <f t="shared" si="90"/>
        <v>204</v>
      </c>
      <c r="F58" s="38"/>
      <c r="G58" s="38"/>
      <c r="H58" s="38"/>
      <c r="I58" s="38"/>
      <c r="J58" s="38"/>
      <c r="K58" s="7">
        <f t="shared" si="95"/>
        <v>204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90"/>
        <v>7000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22242</v>
      </c>
      <c r="D64" s="36">
        <f t="shared" si="90"/>
        <v>22242</v>
      </c>
      <c r="K64" s="7">
        <f>C64*0.25</f>
        <v>5560.5</v>
      </c>
      <c r="P64" s="7">
        <v>0</v>
      </c>
      <c r="Y64" s="7">
        <f>C64*0.41</f>
        <v>9119.2199999999993</v>
      </c>
      <c r="AD64" s="7">
        <f>C64*0.34</f>
        <v>7562.2800000000007</v>
      </c>
    </row>
    <row r="65" spans="1:32" x14ac:dyDescent="0.25">
      <c r="A65" s="26">
        <v>100000017891</v>
      </c>
      <c r="B65" s="51" t="s">
        <v>101</v>
      </c>
      <c r="C65" s="45">
        <v>15977</v>
      </c>
      <c r="D65" s="36">
        <f t="shared" si="90"/>
        <v>15977</v>
      </c>
      <c r="K65" s="7">
        <f>C65*0.75</f>
        <v>11982.75</v>
      </c>
      <c r="Y65" s="7">
        <v>0</v>
      </c>
      <c r="AD65" s="7">
        <f>C65*0.25</f>
        <v>3994.25</v>
      </c>
    </row>
    <row r="66" spans="1:32" x14ac:dyDescent="0.25">
      <c r="A66" s="26">
        <v>100000018687</v>
      </c>
      <c r="B66" s="51" t="s">
        <v>102</v>
      </c>
      <c r="C66" s="43">
        <v>11320</v>
      </c>
      <c r="D66" s="36">
        <f t="shared" si="90"/>
        <v>11320</v>
      </c>
      <c r="K66" s="7">
        <f t="shared" si="94"/>
        <v>0</v>
      </c>
      <c r="P66" s="7">
        <f t="shared" si="91"/>
        <v>0</v>
      </c>
      <c r="T66" s="7">
        <f>C66*0.47</f>
        <v>5320.4</v>
      </c>
      <c r="Y66" s="7">
        <f t="shared" si="92"/>
        <v>0</v>
      </c>
      <c r="AD66" s="7">
        <f>C66*0.53</f>
        <v>5999.6</v>
      </c>
      <c r="AF66" s="7">
        <f>AD66*4.6%</f>
        <v>275.98160000000001</v>
      </c>
    </row>
    <row r="67" spans="1:32" x14ac:dyDescent="0.25">
      <c r="A67" s="26">
        <v>100000006037</v>
      </c>
      <c r="B67" s="27" t="s">
        <v>43</v>
      </c>
      <c r="C67" s="43">
        <f>3750-C46</f>
        <v>3630</v>
      </c>
      <c r="D67" s="36">
        <f t="shared" si="90"/>
        <v>3630</v>
      </c>
      <c r="K67" s="7">
        <f>C67</f>
        <v>3630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90"/>
        <v>300</v>
      </c>
      <c r="K68" s="7">
        <f t="shared" ref="K68:K69" si="96">C68</f>
        <v>300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>
        <v>538</v>
      </c>
      <c r="D69" s="36">
        <f t="shared" si="90"/>
        <v>538</v>
      </c>
      <c r="K69" s="7">
        <f t="shared" si="96"/>
        <v>538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1700</v>
      </c>
      <c r="D70" s="36">
        <f t="shared" si="90"/>
        <v>1700</v>
      </c>
      <c r="K70" s="7">
        <f t="shared" si="94"/>
        <v>0</v>
      </c>
      <c r="P70" s="7">
        <f>C70*0.9</f>
        <v>1530</v>
      </c>
      <c r="Y70" s="7">
        <f t="shared" si="92"/>
        <v>0</v>
      </c>
      <c r="AD70" s="7">
        <f>C70*0.1</f>
        <v>170</v>
      </c>
    </row>
    <row r="71" spans="1:32" x14ac:dyDescent="0.25">
      <c r="A71" s="26">
        <v>100000002976</v>
      </c>
      <c r="B71" s="27" t="s">
        <v>48</v>
      </c>
      <c r="C71" s="45">
        <v>1939</v>
      </c>
      <c r="D71" s="36">
        <f t="shared" si="90"/>
        <v>1939</v>
      </c>
      <c r="K71" s="7">
        <f>C71-Y71-AD71</f>
        <v>503.33572500000002</v>
      </c>
      <c r="P71" s="7">
        <f t="shared" ref="P71:P74" si="97">SUM(M71:O71)</f>
        <v>0</v>
      </c>
      <c r="Y71" s="7">
        <f>0.05*Y17*0.74</f>
        <v>660.06427499999995</v>
      </c>
      <c r="AD71" s="7">
        <f>C71*0.4</f>
        <v>775.6</v>
      </c>
    </row>
    <row r="72" spans="1:32" x14ac:dyDescent="0.25">
      <c r="A72" s="26">
        <v>100000002977</v>
      </c>
      <c r="B72" s="27" t="s">
        <v>49</v>
      </c>
      <c r="C72" s="45">
        <v>335</v>
      </c>
      <c r="D72" s="36">
        <f t="shared" si="90"/>
        <v>335</v>
      </c>
      <c r="K72" s="7">
        <f t="shared" ref="K72:K74" si="98">C72-Y72-AD72</f>
        <v>85.042762500000009</v>
      </c>
      <c r="P72" s="7">
        <f t="shared" si="97"/>
        <v>0</v>
      </c>
      <c r="Y72" s="7">
        <f>0.05*Y17*0.13</f>
        <v>115.95723749999999</v>
      </c>
      <c r="AD72" s="7">
        <f>C72*0.4</f>
        <v>134</v>
      </c>
    </row>
    <row r="73" spans="1:32" x14ac:dyDescent="0.25">
      <c r="A73" s="26">
        <v>100000002978</v>
      </c>
      <c r="B73" s="27" t="s">
        <v>50</v>
      </c>
      <c r="C73" s="45">
        <v>119</v>
      </c>
      <c r="D73" s="36">
        <f t="shared" si="90"/>
        <v>119</v>
      </c>
      <c r="K73" s="7">
        <f t="shared" si="98"/>
        <v>47.641700000000014</v>
      </c>
      <c r="P73" s="7">
        <f t="shared" si="97"/>
        <v>0</v>
      </c>
      <c r="Y73" s="7">
        <f>0.05*Y17*0.08</f>
        <v>71.358299999999986</v>
      </c>
    </row>
    <row r="74" spans="1:32" x14ac:dyDescent="0.25">
      <c r="A74" s="26">
        <v>100000015941</v>
      </c>
      <c r="B74" s="27" t="s">
        <v>51</v>
      </c>
      <c r="C74" s="45">
        <v>107</v>
      </c>
      <c r="D74" s="36">
        <f t="shared" si="90"/>
        <v>107</v>
      </c>
      <c r="K74" s="7">
        <f t="shared" si="98"/>
        <v>62.401062500000002</v>
      </c>
      <c r="P74" s="7">
        <f t="shared" si="97"/>
        <v>0</v>
      </c>
      <c r="Y74" s="7">
        <f>0.05*Y17*0.05</f>
        <v>44.598937499999998</v>
      </c>
    </row>
    <row r="75" spans="1:32" x14ac:dyDescent="0.25">
      <c r="A75" s="26">
        <v>100000017899</v>
      </c>
      <c r="B75" s="27" t="s">
        <v>52</v>
      </c>
      <c r="C75" s="74">
        <f>C66*1%</f>
        <v>113.2</v>
      </c>
      <c r="D75" s="36">
        <f t="shared" si="90"/>
        <v>113.2</v>
      </c>
      <c r="K75" s="7">
        <f t="shared" si="94"/>
        <v>0</v>
      </c>
      <c r="P75" s="7">
        <f t="shared" si="91"/>
        <v>0</v>
      </c>
      <c r="T75" s="74">
        <f>T66*1%</f>
        <v>53.204000000000001</v>
      </c>
      <c r="Y75" s="7">
        <f t="shared" si="92"/>
        <v>0</v>
      </c>
      <c r="AD75" s="74">
        <f>AD66*1%</f>
        <v>59.996000000000002</v>
      </c>
    </row>
    <row r="76" spans="1:32" x14ac:dyDescent="0.25">
      <c r="A76" s="26">
        <v>100000017897</v>
      </c>
      <c r="B76" s="27" t="s">
        <v>53</v>
      </c>
      <c r="C76" s="43">
        <f>C66*5%</f>
        <v>566</v>
      </c>
      <c r="D76" s="36">
        <f t="shared" si="90"/>
        <v>566</v>
      </c>
      <c r="K76" s="7">
        <f t="shared" si="94"/>
        <v>0</v>
      </c>
      <c r="P76" s="7">
        <f t="shared" si="91"/>
        <v>0</v>
      </c>
      <c r="T76" s="43">
        <f>T66*5%</f>
        <v>266.02</v>
      </c>
      <c r="Y76" s="7">
        <f t="shared" si="92"/>
        <v>0</v>
      </c>
      <c r="AD76" s="43">
        <f>AD66*5%</f>
        <v>299.98</v>
      </c>
    </row>
    <row r="77" spans="1:32" x14ac:dyDescent="0.25">
      <c r="A77" s="26"/>
      <c r="B77" s="27" t="s">
        <v>121</v>
      </c>
      <c r="C77" s="36">
        <v>650</v>
      </c>
      <c r="D77" s="36">
        <f t="shared" si="90"/>
        <v>650</v>
      </c>
      <c r="K77" s="7">
        <f>C77</f>
        <v>650</v>
      </c>
    </row>
    <row r="78" spans="1:32" x14ac:dyDescent="0.25">
      <c r="A78" s="26"/>
      <c r="B78" s="27" t="s">
        <v>122</v>
      </c>
      <c r="C78" s="36">
        <v>250</v>
      </c>
      <c r="D78" s="36">
        <f t="shared" si="90"/>
        <v>250</v>
      </c>
      <c r="K78" s="7">
        <f t="shared" ref="K78:K80" si="99">C78</f>
        <v>250</v>
      </c>
    </row>
    <row r="79" spans="1:32" x14ac:dyDescent="0.25">
      <c r="A79" s="26"/>
      <c r="B79" s="27" t="s">
        <v>127</v>
      </c>
      <c r="C79" s="36">
        <v>100</v>
      </c>
      <c r="D79" s="36">
        <f t="shared" si="90"/>
        <v>100</v>
      </c>
      <c r="K79" s="7">
        <f t="shared" si="99"/>
        <v>100</v>
      </c>
    </row>
    <row r="80" spans="1:32" x14ac:dyDescent="0.25">
      <c r="A80" s="26"/>
      <c r="B80" s="27" t="s">
        <v>128</v>
      </c>
      <c r="C80" s="36">
        <v>100</v>
      </c>
      <c r="D80" s="36">
        <f t="shared" si="90"/>
        <v>100</v>
      </c>
      <c r="K80" s="7">
        <f t="shared" si="99"/>
        <v>100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237</v>
      </c>
      <c r="D83" s="36">
        <f t="shared" si="90"/>
        <v>237</v>
      </c>
      <c r="K83" s="7">
        <f t="shared" si="94"/>
        <v>0</v>
      </c>
      <c r="P83" s="7">
        <f t="shared" si="91"/>
        <v>0</v>
      </c>
      <c r="T83" s="7">
        <f>C83</f>
        <v>237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/>
      <c r="D84" s="36">
        <f t="shared" si="90"/>
        <v>0</v>
      </c>
      <c r="K84" s="7">
        <f t="shared" si="94"/>
        <v>0</v>
      </c>
      <c r="P84" s="7">
        <f t="shared" si="91"/>
        <v>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/>
      <c r="D85" s="36">
        <f t="shared" si="90"/>
        <v>0</v>
      </c>
      <c r="K85" s="7">
        <f t="shared" si="94"/>
        <v>0</v>
      </c>
      <c r="P85" s="7">
        <f t="shared" si="91"/>
        <v>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/>
      <c r="D86" s="36">
        <f t="shared" si="90"/>
        <v>0</v>
      </c>
      <c r="K86" s="7">
        <f t="shared" si="94"/>
        <v>0</v>
      </c>
      <c r="P86" s="7">
        <f t="shared" si="91"/>
        <v>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/>
      <c r="D87" s="36">
        <f t="shared" si="90"/>
        <v>0</v>
      </c>
      <c r="K87" s="7">
        <f t="shared" si="94"/>
        <v>0</v>
      </c>
      <c r="P87" s="7">
        <f t="shared" si="91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525</v>
      </c>
      <c r="D89" s="36">
        <f t="shared" si="90"/>
        <v>525</v>
      </c>
      <c r="K89" s="7">
        <f>C89</f>
        <v>525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381</v>
      </c>
      <c r="D90" s="36">
        <f t="shared" si="90"/>
        <v>381</v>
      </c>
      <c r="K90" s="7">
        <f>C90</f>
        <v>381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500</v>
      </c>
      <c r="D92" s="36">
        <f>K92+P92+T92+Y92+AD92</f>
        <v>500</v>
      </c>
      <c r="K92" s="7">
        <f t="shared" ref="K92" si="100">SUM(F92:J92)</f>
        <v>0</v>
      </c>
      <c r="P92" s="7">
        <f>C92</f>
        <v>500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99056.2</v>
      </c>
      <c r="D93" s="36">
        <f>K93+P93+T93+Y93+AD93</f>
        <v>99056.199999999983</v>
      </c>
      <c r="K93" s="36">
        <f>SUM(K45:K92)</f>
        <v>25829.671250000003</v>
      </c>
      <c r="P93" s="36">
        <f>SUM(P45:P92)</f>
        <v>27678.78</v>
      </c>
      <c r="S93" s="36"/>
      <c r="T93" s="36">
        <f>SUM(T45:T92)</f>
        <v>6309.634</v>
      </c>
      <c r="Y93" s="36">
        <f>SUM(Y45:Y92)</f>
        <v>17699.418749999997</v>
      </c>
      <c r="AD93" s="36">
        <f>SUM(AD45:AD92)</f>
        <v>21538.696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1700</v>
      </c>
      <c r="D95" s="36">
        <f t="shared" ref="D95:D111" si="101">K95+P95+R95+Y95+AD95</f>
        <v>1700</v>
      </c>
      <c r="K95" s="36">
        <f>K70+K47</f>
        <v>0</v>
      </c>
      <c r="N95" s="7">
        <f>P95</f>
        <v>1530</v>
      </c>
      <c r="P95" s="36">
        <f>P70+P47</f>
        <v>1530</v>
      </c>
      <c r="R95" s="36">
        <f>T70+T47</f>
        <v>0</v>
      </c>
      <c r="S95" s="36"/>
      <c r="T95" s="36"/>
      <c r="Y95" s="36">
        <f>Y70+Y47</f>
        <v>0</v>
      </c>
      <c r="AC95" s="7">
        <f>AD95</f>
        <v>170</v>
      </c>
      <c r="AD95" s="36">
        <f>AD70+AD47</f>
        <v>170</v>
      </c>
      <c r="AF95" s="36">
        <f>K95+P95+R95+Y95+AD95</f>
        <v>1700</v>
      </c>
    </row>
    <row r="96" spans="1:32" x14ac:dyDescent="0.25">
      <c r="A96" s="26">
        <v>100000002975</v>
      </c>
      <c r="B96" s="29" t="s">
        <v>21</v>
      </c>
      <c r="C96" s="36">
        <f>C74+C73+C72+C71</f>
        <v>2500</v>
      </c>
      <c r="D96" s="36">
        <f t="shared" si="101"/>
        <v>2500</v>
      </c>
      <c r="J96" s="7">
        <f>K96</f>
        <v>698.4212500000001</v>
      </c>
      <c r="K96" s="36">
        <f>K74+K73+K72+K71</f>
        <v>698.4212500000001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283.78683000000001</v>
      </c>
      <c r="W96" s="7">
        <f>0.06*SUM(W99:W110)</f>
        <v>304.09595999999999</v>
      </c>
      <c r="X96" s="7">
        <f>0.06*SUM(X99:X110)</f>
        <v>304.09595999999999</v>
      </c>
      <c r="Y96" s="36">
        <f>Y74+Y73+Y72+Y71</f>
        <v>891.97874999999999</v>
      </c>
      <c r="AA96" s="7">
        <f>AD96*0.5</f>
        <v>454.8</v>
      </c>
      <c r="AB96" s="7">
        <f>AD96*0.25</f>
        <v>227.4</v>
      </c>
      <c r="AC96" s="7">
        <f>AD96*0.25</f>
        <v>227.4</v>
      </c>
      <c r="AD96" s="36">
        <f>AD74+AD73+AD72+AD71</f>
        <v>909.6</v>
      </c>
      <c r="AF96" s="36">
        <f t="shared" ref="AF96:AF110" si="102">K96+P96+R96+Y96+AD96</f>
        <v>2500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1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2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1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2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22780</v>
      </c>
      <c r="D99" s="36">
        <f t="shared" si="101"/>
        <v>22780</v>
      </c>
      <c r="G99" s="7">
        <f>K99</f>
        <v>6098.5</v>
      </c>
      <c r="K99" s="36">
        <f>K64+K69+K91</f>
        <v>6098.5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3647.6880000000001</v>
      </c>
      <c r="W99" s="7">
        <f>Y99*0.3</f>
        <v>2735.7659999999996</v>
      </c>
      <c r="X99" s="7">
        <f>Y99*0.3</f>
        <v>2735.7659999999996</v>
      </c>
      <c r="Y99" s="36">
        <f>Y64+Y69+Y91</f>
        <v>9119.2199999999993</v>
      </c>
      <c r="AC99" s="7">
        <f>AD99</f>
        <v>7562.2800000000007</v>
      </c>
      <c r="AD99" s="36">
        <f>AD64+AD69+AD91</f>
        <v>7562.2800000000007</v>
      </c>
      <c r="AF99" s="36">
        <f t="shared" si="102"/>
        <v>22780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01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02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01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2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01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2"/>
        <v>1000</v>
      </c>
    </row>
    <row r="103" spans="1:32" x14ac:dyDescent="0.25">
      <c r="A103" s="26">
        <v>100000006047</v>
      </c>
      <c r="B103" s="29" t="s">
        <v>72</v>
      </c>
      <c r="C103" s="36">
        <f>C53+C92</f>
        <v>21137</v>
      </c>
      <c r="D103" s="36">
        <f t="shared" si="101"/>
        <v>21137</v>
      </c>
      <c r="H103" s="7">
        <f>K103</f>
        <v>0</v>
      </c>
      <c r="K103" s="36">
        <f>K53+K92</f>
        <v>0</v>
      </c>
      <c r="N103" s="7">
        <f>P103*0.4</f>
        <v>7959.5119999999997</v>
      </c>
      <c r="O103" s="7">
        <f>P103*0.6</f>
        <v>11939.267999999998</v>
      </c>
      <c r="P103" s="36">
        <f>P53+P92</f>
        <v>19898.78</v>
      </c>
      <c r="R103" s="36">
        <f>T53</f>
        <v>0</v>
      </c>
      <c r="S103" s="36"/>
      <c r="T103" s="36"/>
      <c r="V103" s="7">
        <f>Y103</f>
        <v>1238.22</v>
      </c>
      <c r="Y103" s="36">
        <f>Y53+Y92</f>
        <v>1238.22</v>
      </c>
      <c r="AD103" s="36">
        <f>AD53+AD92</f>
        <v>0</v>
      </c>
      <c r="AF103" s="36">
        <f t="shared" si="102"/>
        <v>21137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1200</v>
      </c>
      <c r="D104" s="36">
        <f t="shared" si="101"/>
        <v>1200</v>
      </c>
      <c r="J104" s="7">
        <f>K104</f>
        <v>1200</v>
      </c>
      <c r="K104" s="36">
        <f>K90+K89+K58+K57+K56+K55</f>
        <v>1200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2"/>
        <v>1200</v>
      </c>
    </row>
    <row r="105" spans="1:32" x14ac:dyDescent="0.25">
      <c r="A105" s="26">
        <v>100000011633</v>
      </c>
      <c r="B105" s="29" t="s">
        <v>74</v>
      </c>
      <c r="C105" s="36">
        <v>0</v>
      </c>
      <c r="D105" s="36">
        <f t="shared" si="101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2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1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2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15977</v>
      </c>
      <c r="D107" s="36">
        <f t="shared" si="101"/>
        <v>15977</v>
      </c>
      <c r="G107" s="7">
        <f>K107*0.25</f>
        <v>2995.6875</v>
      </c>
      <c r="H107" s="7">
        <f>K107*0.75</f>
        <v>8987.0625</v>
      </c>
      <c r="K107" s="36">
        <f>K65</f>
        <v>11982.75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3994.25</v>
      </c>
      <c r="AD107" s="36">
        <f>AD65</f>
        <v>3994.25</v>
      </c>
      <c r="AF107" s="36">
        <f t="shared" si="102"/>
        <v>15977</v>
      </c>
    </row>
    <row r="108" spans="1:32" x14ac:dyDescent="0.25">
      <c r="A108" s="26">
        <v>100000032221</v>
      </c>
      <c r="B108" s="29" t="s">
        <v>77</v>
      </c>
      <c r="C108" s="36">
        <f>C54</f>
        <v>6250</v>
      </c>
      <c r="D108" s="36">
        <f t="shared" si="101"/>
        <v>6250</v>
      </c>
      <c r="G108" s="7">
        <f>K108</f>
        <v>0</v>
      </c>
      <c r="K108" s="36">
        <f>K54</f>
        <v>0</v>
      </c>
      <c r="M108" s="7">
        <f>P108</f>
        <v>6250</v>
      </c>
      <c r="P108" s="36">
        <f>P54</f>
        <v>6250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D108" s="36">
        <f>AD54</f>
        <v>0</v>
      </c>
      <c r="AF108" s="36">
        <f t="shared" si="102"/>
        <v>6250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14162.2</v>
      </c>
      <c r="D109" s="36">
        <f>K109+P109+T109+Y109+AD109</f>
        <v>14162.2</v>
      </c>
      <c r="K109" s="36">
        <f>K83+K66+K49+K51+K52+K48+K75+K76</f>
        <v>0</v>
      </c>
      <c r="P109" s="36">
        <f>P83+P66+P49+P51+P52+P48+P75+P76</f>
        <v>0</v>
      </c>
      <c r="R109" s="36">
        <f>T35</f>
        <v>5772.634</v>
      </c>
      <c r="S109" s="36">
        <f>T36</f>
        <v>537</v>
      </c>
      <c r="T109" s="36">
        <f>T83+T66+T49+T51+T52+T48+T75+T76+T84+T85+T86+T87</f>
        <v>6309.634</v>
      </c>
      <c r="Y109" s="36">
        <f>Y83+Y66+Y49+Y51+Y52+Y48+Y75+Y76</f>
        <v>0</v>
      </c>
      <c r="AA109" s="7">
        <f>AD35</f>
        <v>6509.5660000000007</v>
      </c>
      <c r="AB109" s="7">
        <f>AD36</f>
        <v>1343</v>
      </c>
      <c r="AD109" s="36">
        <f>AD83+AD66+AD49+AD51+AD52+AD48+AD75+AD76+AD84+AD85+AD86+AD87</f>
        <v>7852.5660000000007</v>
      </c>
      <c r="AF109" s="36">
        <f t="shared" si="102"/>
        <v>13625.2</v>
      </c>
    </row>
    <row r="110" spans="1:32" x14ac:dyDescent="0.25">
      <c r="B110" s="19" t="s">
        <v>84</v>
      </c>
      <c r="C110" s="16">
        <f>C50</f>
        <v>500</v>
      </c>
      <c r="D110" s="36">
        <f t="shared" si="101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2"/>
        <v>500</v>
      </c>
    </row>
    <row r="111" spans="1:32" x14ac:dyDescent="0.25">
      <c r="B111" s="16" t="s">
        <v>94</v>
      </c>
      <c r="C111" s="16">
        <f>C77+C78+C79+C80</f>
        <v>1100</v>
      </c>
      <c r="D111" s="36">
        <f t="shared" si="101"/>
        <v>1100</v>
      </c>
      <c r="G111" s="7">
        <f>K111*0.5</f>
        <v>550</v>
      </c>
      <c r="H111" s="7">
        <f>K111*0.5</f>
        <v>550</v>
      </c>
      <c r="K111" s="16">
        <f>K77+K78+K79+K80</f>
        <v>1100</v>
      </c>
      <c r="P111" s="16">
        <f>P77+P78+P79+P80</f>
        <v>0</v>
      </c>
    </row>
    <row r="112" spans="1:32" x14ac:dyDescent="0.25">
      <c r="AC112" s="7">
        <f>AC100+AC99</f>
        <v>8612.2800000000007</v>
      </c>
    </row>
    <row r="113" spans="22:29" x14ac:dyDescent="0.25">
      <c r="AC113" s="7">
        <f>AC112/0.8</f>
        <v>10765.35</v>
      </c>
    </row>
    <row r="114" spans="22:29" x14ac:dyDescent="0.25">
      <c r="AC114" s="7">
        <f>AC113*0.27</f>
        <v>2906.6445000000003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CE117"/>
  <sheetViews>
    <sheetView topLeftCell="B4" zoomScaleNormal="100" workbookViewId="0">
      <pane xSplit="4" ySplit="4" topLeftCell="BJ25" activePane="bottomRight" state="frozen"/>
      <selection activeCell="C76" sqref="C76"/>
      <selection pane="topRight" activeCell="C76" sqref="C76"/>
      <selection pane="bottomLeft" activeCell="C76" sqref="C76"/>
      <selection pane="bottomRight" activeCell="BW40" sqref="BW40"/>
    </sheetView>
  </sheetViews>
  <sheetFormatPr defaultRowHeight="15" x14ac:dyDescent="0.25"/>
  <cols>
    <col min="1" max="1" width="19.140625" style="7" customWidth="1"/>
    <col min="2" max="2" width="39.7109375" style="16" bestFit="1" customWidth="1"/>
    <col min="3" max="3" width="12.5703125" style="16" customWidth="1"/>
    <col min="4" max="4" width="13.85546875" style="16" customWidth="1"/>
    <col min="5" max="5" width="1.42578125" style="4" customWidth="1"/>
    <col min="6" max="6" width="11" style="7" bestFit="1" customWidth="1"/>
    <col min="7" max="8" width="10.5703125" style="7" bestFit="1" customWidth="1"/>
    <col min="9" max="11" width="9.5703125" style="7" bestFit="1" customWidth="1"/>
    <col min="12" max="12" width="1.140625" style="7" customWidth="1"/>
    <col min="13" max="15" width="10.5703125" style="7" bestFit="1" customWidth="1"/>
    <col min="16" max="16" width="9.5703125" style="7" bestFit="1" customWidth="1"/>
    <col min="17" max="17" width="1.28515625" style="7" customWidth="1"/>
    <col min="18" max="18" width="14.42578125" style="7" bestFit="1" customWidth="1"/>
    <col min="19" max="20" width="14.42578125" style="7" customWidth="1"/>
    <col min="21" max="21" width="1.28515625" style="7" customWidth="1"/>
    <col min="22" max="24" width="9.5703125" style="7" bestFit="1" customWidth="1"/>
    <col min="25" max="25" width="9.28515625" style="7" bestFit="1" customWidth="1"/>
    <col min="26" max="26" width="1" style="7" customWidth="1"/>
    <col min="27" max="27" width="10.5703125" style="7" bestFit="1" customWidth="1"/>
    <col min="28" max="28" width="10.5703125" style="7" customWidth="1"/>
    <col min="29" max="29" width="10.5703125" style="7" bestFit="1" customWidth="1"/>
    <col min="30" max="30" width="9.5703125" style="7" bestFit="1" customWidth="1"/>
    <col min="31" max="31" width="1.140625" style="7" customWidth="1"/>
    <col min="32" max="33" width="9.140625" style="7"/>
    <col min="34" max="34" width="21.5703125" style="7" bestFit="1" customWidth="1"/>
    <col min="35" max="36" width="11.85546875" style="7" bestFit="1" customWidth="1"/>
    <col min="37" max="37" width="11.5703125" style="7" bestFit="1" customWidth="1"/>
    <col min="38" max="39" width="11.85546875" style="7" bestFit="1" customWidth="1"/>
    <col min="40" max="40" width="11.85546875" style="7" customWidth="1"/>
    <col min="41" max="41" width="1.140625" style="7" customWidth="1"/>
    <col min="42" max="46" width="11.7109375" style="7" customWidth="1"/>
    <col min="47" max="47" width="13.5703125" style="7" customWidth="1"/>
    <col min="48" max="48" width="1.140625" style="7" customWidth="1"/>
    <col min="49" max="53" width="9.140625" style="7"/>
    <col min="54" max="54" width="1.140625" style="7" customWidth="1"/>
    <col min="55" max="55" width="9.7109375" style="7" bestFit="1" customWidth="1"/>
    <col min="56" max="57" width="9.28515625" style="7" bestFit="1" customWidth="1"/>
    <col min="58" max="59" width="9.5703125" style="7" bestFit="1" customWidth="1"/>
    <col min="60" max="60" width="1.140625" style="7" customWidth="1"/>
    <col min="61" max="65" width="9.140625" style="7"/>
    <col min="66" max="66" width="1.140625" style="7" customWidth="1"/>
    <col min="67" max="67" width="9.7109375" style="7" bestFit="1" customWidth="1"/>
    <col min="68" max="69" width="9.28515625" style="7" bestFit="1" customWidth="1"/>
    <col min="70" max="70" width="10.5703125" style="7" bestFit="1" customWidth="1"/>
    <col min="71" max="71" width="9.5703125" style="7" bestFit="1" customWidth="1"/>
    <col min="72" max="72" width="1.42578125" style="7" customWidth="1"/>
    <col min="73" max="77" width="9.140625" style="7"/>
    <col min="78" max="78" width="1.28515625" style="7" customWidth="1"/>
    <col min="79" max="79" width="9.5703125" style="7" bestFit="1" customWidth="1"/>
    <col min="80" max="83" width="9.28515625" style="7" bestFit="1" customWidth="1"/>
    <col min="84" max="16384" width="9.140625" style="7"/>
  </cols>
  <sheetData>
    <row r="3" spans="2:34" x14ac:dyDescent="0.25">
      <c r="K3" s="15">
        <f>7000/D53</f>
        <v>0.34350770438708411</v>
      </c>
      <c r="M3" s="15">
        <f>K53/D53</f>
        <v>0</v>
      </c>
      <c r="AA3" s="7">
        <f>384/0.78</f>
        <v>492.30769230769226</v>
      </c>
      <c r="AC3" s="7">
        <v>525</v>
      </c>
      <c r="AD3" s="7">
        <f>AC3*0.73</f>
        <v>383.25</v>
      </c>
    </row>
    <row r="4" spans="2:34" x14ac:dyDescent="0.25">
      <c r="R4" s="7">
        <v>208</v>
      </c>
      <c r="V4" s="7">
        <f>R4/0.78</f>
        <v>266.66666666666669</v>
      </c>
    </row>
    <row r="6" spans="2:34" ht="21" x14ac:dyDescent="0.35">
      <c r="B6" s="17"/>
      <c r="C6" s="33"/>
      <c r="D6" s="33"/>
      <c r="E6" s="6"/>
      <c r="F6" s="80" t="s">
        <v>80</v>
      </c>
      <c r="G6" s="80"/>
      <c r="H6" s="80"/>
      <c r="I6" s="80"/>
      <c r="J6" s="80"/>
      <c r="K6" s="80"/>
      <c r="M6" s="81" t="s">
        <v>0</v>
      </c>
      <c r="N6" s="81"/>
      <c r="O6" s="81"/>
      <c r="P6" s="81"/>
      <c r="R6" s="81" t="s">
        <v>1</v>
      </c>
      <c r="S6" s="81"/>
      <c r="T6" s="81"/>
      <c r="V6" s="81" t="s">
        <v>2</v>
      </c>
      <c r="W6" s="81"/>
      <c r="X6" s="81"/>
      <c r="Y6" s="81"/>
      <c r="AA6" s="81" t="s">
        <v>3</v>
      </c>
      <c r="AB6" s="81"/>
      <c r="AC6" s="81"/>
      <c r="AD6" s="81"/>
      <c r="AF6" s="8" t="s">
        <v>23</v>
      </c>
    </row>
    <row r="7" spans="2:34" ht="15.75" x14ac:dyDescent="0.25">
      <c r="B7" s="18" t="s">
        <v>4</v>
      </c>
      <c r="C7" s="9"/>
      <c r="D7" s="9"/>
      <c r="E7" s="10"/>
      <c r="F7" s="9" t="s">
        <v>5</v>
      </c>
      <c r="G7" s="9" t="s">
        <v>6</v>
      </c>
      <c r="H7" s="9" t="s">
        <v>7</v>
      </c>
      <c r="I7" s="9" t="s">
        <v>8</v>
      </c>
      <c r="J7" s="9" t="s">
        <v>9</v>
      </c>
      <c r="K7" s="9" t="s">
        <v>11</v>
      </c>
      <c r="L7" s="11"/>
      <c r="M7" s="9" t="s">
        <v>5</v>
      </c>
      <c r="N7" s="9" t="s">
        <v>6</v>
      </c>
      <c r="O7" s="9" t="s">
        <v>7</v>
      </c>
      <c r="P7" s="9" t="s">
        <v>11</v>
      </c>
      <c r="R7" s="9" t="s">
        <v>129</v>
      </c>
      <c r="S7" s="9" t="s">
        <v>130</v>
      </c>
      <c r="T7" s="9" t="s">
        <v>11</v>
      </c>
      <c r="V7" s="9" t="s">
        <v>5</v>
      </c>
      <c r="W7" s="9" t="s">
        <v>6</v>
      </c>
      <c r="X7" s="9" t="s">
        <v>7</v>
      </c>
      <c r="Y7" s="9" t="s">
        <v>11</v>
      </c>
      <c r="Z7" s="10"/>
      <c r="AA7" s="9" t="s">
        <v>124</v>
      </c>
      <c r="AB7" s="9" t="s">
        <v>125</v>
      </c>
      <c r="AC7" s="9" t="s">
        <v>6</v>
      </c>
      <c r="AD7" s="9" t="s">
        <v>11</v>
      </c>
      <c r="AF7" s="9" t="s">
        <v>11</v>
      </c>
    </row>
    <row r="8" spans="2:34" x14ac:dyDescent="0.25">
      <c r="B8" s="19" t="s">
        <v>95</v>
      </c>
      <c r="F8" s="5">
        <v>0</v>
      </c>
      <c r="G8" s="5">
        <v>500</v>
      </c>
      <c r="H8" s="5">
        <v>500</v>
      </c>
      <c r="I8" s="5">
        <v>220</v>
      </c>
      <c r="J8" s="5">
        <v>270</v>
      </c>
      <c r="K8" s="5">
        <f>SUM(F8:J8)</f>
        <v>1490</v>
      </c>
      <c r="L8" s="3"/>
      <c r="M8" s="5"/>
      <c r="N8" s="5">
        <v>700</v>
      </c>
      <c r="O8" s="5">
        <v>700</v>
      </c>
      <c r="P8" s="5">
        <f>SUM(M8:O8)</f>
        <v>1400</v>
      </c>
      <c r="Q8" s="67"/>
      <c r="R8" s="5">
        <f>(4.75*2*24)/0.8</f>
        <v>285</v>
      </c>
      <c r="S8" s="5">
        <f>(2.9*1*24)/0.8</f>
        <v>86.999999999999986</v>
      </c>
      <c r="T8" s="5">
        <f>S8+R8</f>
        <v>372</v>
      </c>
      <c r="U8" s="76"/>
      <c r="V8" s="5">
        <v>360</v>
      </c>
      <c r="W8" s="5">
        <v>270</v>
      </c>
      <c r="X8" s="5">
        <v>270</v>
      </c>
      <c r="Y8" s="5">
        <f>SUM(V8:X8)</f>
        <v>900</v>
      </c>
      <c r="Z8" s="4"/>
      <c r="AA8" s="7">
        <f>(((240/0.8)*0.08)+240)/0.8</f>
        <v>330</v>
      </c>
      <c r="AB8" s="7">
        <f>(((120/0.8)*0.08)+120)/0.8</f>
        <v>165</v>
      </c>
      <c r="AC8" s="5">
        <v>700</v>
      </c>
      <c r="AD8" s="5">
        <f>SUM(AA8:AC8)</f>
        <v>1195</v>
      </c>
      <c r="AF8" s="1">
        <f>AD8+Y8+R8+P8+K8</f>
        <v>5270</v>
      </c>
    </row>
    <row r="9" spans="2:34" x14ac:dyDescent="0.25">
      <c r="B9" s="19" t="s">
        <v>10</v>
      </c>
      <c r="F9" s="22">
        <v>0.78</v>
      </c>
      <c r="G9" s="22">
        <v>0.78</v>
      </c>
      <c r="H9" s="22">
        <v>0.78</v>
      </c>
      <c r="I9" s="22">
        <v>0.78</v>
      </c>
      <c r="J9" s="22">
        <v>0.78</v>
      </c>
      <c r="K9" s="22"/>
      <c r="L9" s="13"/>
      <c r="M9" s="22">
        <v>0.78</v>
      </c>
      <c r="N9" s="22">
        <v>0.78</v>
      </c>
      <c r="O9" s="22">
        <v>0.78</v>
      </c>
      <c r="P9" s="22"/>
      <c r="Q9" s="12"/>
      <c r="R9" s="22">
        <v>0.8</v>
      </c>
      <c r="S9" s="22">
        <v>0.8</v>
      </c>
      <c r="T9" s="22"/>
      <c r="U9" s="12"/>
      <c r="V9" s="22">
        <v>0.78</v>
      </c>
      <c r="W9" s="22">
        <v>0.78</v>
      </c>
      <c r="X9" s="22">
        <v>0.78</v>
      </c>
      <c r="Y9" s="22"/>
      <c r="Z9" s="14"/>
      <c r="AA9" s="22">
        <v>0.8</v>
      </c>
      <c r="AB9" s="22">
        <v>0.8</v>
      </c>
      <c r="AC9" s="22">
        <v>0.79</v>
      </c>
      <c r="AD9" s="22"/>
      <c r="AE9" s="15"/>
      <c r="AF9" s="21"/>
      <c r="AG9" s="15"/>
      <c r="AH9" s="15"/>
    </row>
    <row r="10" spans="2:34" x14ac:dyDescent="0.25">
      <c r="B10" s="19" t="s">
        <v>96</v>
      </c>
      <c r="F10" s="5">
        <f>F8*F9</f>
        <v>0</v>
      </c>
      <c r="G10" s="5">
        <f t="shared" ref="G10:J10" si="0">G8*G9</f>
        <v>390</v>
      </c>
      <c r="H10" s="5">
        <f t="shared" si="0"/>
        <v>390</v>
      </c>
      <c r="I10" s="5">
        <f t="shared" si="0"/>
        <v>171.6</v>
      </c>
      <c r="J10" s="5">
        <f t="shared" si="0"/>
        <v>210.6</v>
      </c>
      <c r="K10" s="5">
        <f>SUM(F10:J10)</f>
        <v>1162.2</v>
      </c>
      <c r="L10" s="3"/>
      <c r="M10" s="5">
        <f t="shared" ref="M10:O10" si="1">M8*M9</f>
        <v>0</v>
      </c>
      <c r="N10" s="5">
        <f t="shared" si="1"/>
        <v>546</v>
      </c>
      <c r="O10" s="5">
        <f t="shared" si="1"/>
        <v>546</v>
      </c>
      <c r="P10" s="5">
        <f>SUM(M10:O10)</f>
        <v>1092</v>
      </c>
      <c r="Q10" s="67"/>
      <c r="R10" s="5">
        <f t="shared" ref="R10:S10" si="2">R8*R9</f>
        <v>228</v>
      </c>
      <c r="S10" s="5">
        <f t="shared" si="2"/>
        <v>69.599999999999994</v>
      </c>
      <c r="T10" s="5">
        <f>R10+S10</f>
        <v>297.60000000000002</v>
      </c>
      <c r="U10" s="67"/>
      <c r="V10" s="5">
        <f>V8*V9</f>
        <v>280.8</v>
      </c>
      <c r="W10" s="5">
        <f t="shared" ref="W10:X10" si="3">W8*W9</f>
        <v>210.6</v>
      </c>
      <c r="X10" s="5">
        <f t="shared" si="3"/>
        <v>210.6</v>
      </c>
      <c r="Y10" s="5">
        <f>SUM(V10:X10)</f>
        <v>702</v>
      </c>
      <c r="Z10" s="4"/>
      <c r="AA10" s="5">
        <f t="shared" ref="AA10:AC10" si="4">AA8*AA9</f>
        <v>264</v>
      </c>
      <c r="AB10" s="5">
        <f t="shared" si="4"/>
        <v>132</v>
      </c>
      <c r="AC10" s="5">
        <f t="shared" si="4"/>
        <v>553</v>
      </c>
      <c r="AD10" s="5">
        <f>SUM(AA10:AC10)</f>
        <v>949</v>
      </c>
      <c r="AF10" s="1">
        <f>AD10+Y10+R10+P10+K10</f>
        <v>4133.2</v>
      </c>
    </row>
    <row r="11" spans="2:34" x14ac:dyDescent="0.25">
      <c r="B11" s="19" t="s">
        <v>12</v>
      </c>
      <c r="F11" s="5">
        <v>31</v>
      </c>
      <c r="G11" s="5">
        <v>31</v>
      </c>
      <c r="H11" s="5">
        <v>31</v>
      </c>
      <c r="I11" s="5">
        <v>31</v>
      </c>
      <c r="J11" s="5">
        <v>31</v>
      </c>
      <c r="K11" s="5"/>
      <c r="L11" s="3"/>
      <c r="M11" s="5">
        <v>31</v>
      </c>
      <c r="N11" s="5">
        <v>31</v>
      </c>
      <c r="O11" s="5">
        <v>31</v>
      </c>
      <c r="P11" s="5"/>
      <c r="Q11" s="67"/>
      <c r="R11" s="5">
        <v>31</v>
      </c>
      <c r="S11" s="5">
        <v>31</v>
      </c>
      <c r="T11" s="5"/>
      <c r="U11" s="67"/>
      <c r="V11" s="5">
        <v>31</v>
      </c>
      <c r="W11" s="5">
        <v>31</v>
      </c>
      <c r="X11" s="5">
        <v>31</v>
      </c>
      <c r="Y11" s="5"/>
      <c r="Z11" s="4"/>
      <c r="AA11" s="5">
        <v>31</v>
      </c>
      <c r="AB11" s="5">
        <v>31</v>
      </c>
      <c r="AC11" s="5">
        <v>31</v>
      </c>
      <c r="AD11" s="5"/>
      <c r="AF11" s="1"/>
    </row>
    <row r="12" spans="2:34" x14ac:dyDescent="0.25">
      <c r="B12" s="19" t="s">
        <v>13</v>
      </c>
      <c r="F12" s="39">
        <v>1.5</v>
      </c>
      <c r="G12" s="39">
        <v>1.5</v>
      </c>
      <c r="H12" s="39">
        <v>1.5</v>
      </c>
      <c r="I12" s="39">
        <v>1.5</v>
      </c>
      <c r="J12" s="39">
        <v>1.5</v>
      </c>
      <c r="K12" s="5"/>
      <c r="L12" s="3"/>
      <c r="M12" s="39">
        <v>1.5</v>
      </c>
      <c r="N12" s="39">
        <v>1.5</v>
      </c>
      <c r="O12" s="39">
        <v>1.5</v>
      </c>
      <c r="P12" s="5"/>
      <c r="Q12" s="67"/>
      <c r="R12" s="39">
        <v>0</v>
      </c>
      <c r="S12" s="39">
        <v>0</v>
      </c>
      <c r="T12" s="39">
        <v>0</v>
      </c>
      <c r="U12" s="67"/>
      <c r="V12" s="39">
        <v>1.5</v>
      </c>
      <c r="W12" s="39">
        <v>1.5</v>
      </c>
      <c r="X12" s="39">
        <v>1.5</v>
      </c>
      <c r="Y12" s="5"/>
      <c r="AA12" s="39">
        <v>0</v>
      </c>
      <c r="AB12" s="39">
        <v>0</v>
      </c>
      <c r="AC12" s="39">
        <v>1.5</v>
      </c>
      <c r="AD12" s="5"/>
      <c r="AF12" s="1"/>
    </row>
    <row r="13" spans="2:34" x14ac:dyDescent="0.25">
      <c r="B13" s="19" t="s">
        <v>83</v>
      </c>
      <c r="F13" s="22">
        <v>0.25</v>
      </c>
      <c r="G13" s="22">
        <v>0.25</v>
      </c>
      <c r="H13" s="22">
        <v>0.25</v>
      </c>
      <c r="I13" s="22">
        <v>0.25</v>
      </c>
      <c r="J13" s="22">
        <v>0.25</v>
      </c>
      <c r="K13" s="5"/>
      <c r="L13" s="3"/>
      <c r="M13" s="22">
        <v>0.25</v>
      </c>
      <c r="N13" s="22">
        <v>0.25</v>
      </c>
      <c r="O13" s="22">
        <v>0.25</v>
      </c>
      <c r="P13" s="5"/>
      <c r="Q13" s="67"/>
      <c r="R13" s="22">
        <v>0.25</v>
      </c>
      <c r="S13" s="22">
        <v>0.25</v>
      </c>
      <c r="T13" s="22"/>
      <c r="U13" s="67"/>
      <c r="V13" s="22">
        <v>0.25</v>
      </c>
      <c r="W13" s="22">
        <v>0.25</v>
      </c>
      <c r="X13" s="22">
        <v>0.25</v>
      </c>
      <c r="Y13" s="5"/>
      <c r="AA13" s="22">
        <v>0.25</v>
      </c>
      <c r="AB13" s="22">
        <v>0.25</v>
      </c>
      <c r="AC13" s="22">
        <v>0.25</v>
      </c>
      <c r="AD13" s="5"/>
      <c r="AF13" s="1"/>
    </row>
    <row r="14" spans="2:34" x14ac:dyDescent="0.25">
      <c r="B14" s="19" t="s">
        <v>14</v>
      </c>
      <c r="F14" s="39">
        <v>1.5</v>
      </c>
      <c r="G14" s="39">
        <v>1.5</v>
      </c>
      <c r="H14" s="39">
        <v>1.5</v>
      </c>
      <c r="I14" s="39">
        <v>1.5</v>
      </c>
      <c r="J14" s="39">
        <v>1.5</v>
      </c>
      <c r="K14" s="5"/>
      <c r="L14" s="3"/>
      <c r="M14" s="39">
        <v>1.5</v>
      </c>
      <c r="N14" s="39">
        <v>1.5</v>
      </c>
      <c r="O14" s="39">
        <v>1.5</v>
      </c>
      <c r="P14" s="5"/>
      <c r="Q14" s="67"/>
      <c r="R14" s="39">
        <v>2</v>
      </c>
      <c r="S14" s="39">
        <v>2</v>
      </c>
      <c r="T14" s="39"/>
      <c r="U14" s="67"/>
      <c r="V14" s="39">
        <v>1.5</v>
      </c>
      <c r="W14" s="39">
        <v>1.5</v>
      </c>
      <c r="X14" s="39">
        <v>1.5</v>
      </c>
      <c r="Y14" s="5"/>
      <c r="AA14" s="39">
        <v>2</v>
      </c>
      <c r="AB14" s="39">
        <v>2</v>
      </c>
      <c r="AC14" s="39">
        <v>1</v>
      </c>
      <c r="AD14" s="5"/>
      <c r="AF14" s="1"/>
    </row>
    <row r="15" spans="2:34" x14ac:dyDescent="0.25">
      <c r="B15" s="19" t="s">
        <v>15</v>
      </c>
      <c r="F15" s="40">
        <f>F11-F12-F14-F13</f>
        <v>27.75</v>
      </c>
      <c r="G15" s="40">
        <f t="shared" ref="G15:J15" si="5">G11-G12-G14-G13</f>
        <v>27.75</v>
      </c>
      <c r="H15" s="40">
        <f t="shared" si="5"/>
        <v>27.75</v>
      </c>
      <c r="I15" s="40">
        <f t="shared" si="5"/>
        <v>27.75</v>
      </c>
      <c r="J15" s="40">
        <f t="shared" si="5"/>
        <v>27.75</v>
      </c>
      <c r="K15" s="1"/>
      <c r="M15" s="40">
        <f>M11-M12-M14-M13</f>
        <v>27.75</v>
      </c>
      <c r="N15" s="40">
        <f t="shared" ref="N15:O15" si="6">N11-N12-N14-N13</f>
        <v>27.75</v>
      </c>
      <c r="O15" s="40">
        <f t="shared" si="6"/>
        <v>27.75</v>
      </c>
      <c r="P15" s="1"/>
      <c r="R15" s="40">
        <f>R11-R12-R14-R13</f>
        <v>28.75</v>
      </c>
      <c r="S15" s="40">
        <f t="shared" ref="S15" si="7">S11-S12-S14-S13</f>
        <v>28.75</v>
      </c>
      <c r="T15" s="40"/>
      <c r="V15" s="40">
        <f t="shared" ref="V15:X15" si="8">V11-V12-V14-V13</f>
        <v>27.75</v>
      </c>
      <c r="W15" s="40">
        <f t="shared" si="8"/>
        <v>27.75</v>
      </c>
      <c r="X15" s="40">
        <f t="shared" si="8"/>
        <v>27.75</v>
      </c>
      <c r="Y15" s="1"/>
      <c r="AA15" s="40">
        <f t="shared" ref="AA15:AC15" si="9">AA11-AA12-AA14-AA13</f>
        <v>28.75</v>
      </c>
      <c r="AB15" s="40">
        <f t="shared" si="9"/>
        <v>28.75</v>
      </c>
      <c r="AC15" s="40">
        <f t="shared" si="9"/>
        <v>28.25</v>
      </c>
      <c r="AD15" s="1"/>
      <c r="AF15" s="1"/>
    </row>
    <row r="16" spans="2:34" s="15" customFormat="1" x14ac:dyDescent="0.25">
      <c r="B16" s="20" t="s">
        <v>16</v>
      </c>
      <c r="C16" s="34"/>
      <c r="D16" s="34"/>
      <c r="E16" s="14"/>
      <c r="F16" s="21">
        <v>0.85</v>
      </c>
      <c r="G16" s="21">
        <v>0.9</v>
      </c>
      <c r="H16" s="21">
        <v>0.9</v>
      </c>
      <c r="I16" s="21">
        <v>0.9</v>
      </c>
      <c r="J16" s="21">
        <v>0.9</v>
      </c>
      <c r="K16" s="21"/>
      <c r="M16" s="21">
        <v>0.9</v>
      </c>
      <c r="N16" s="21">
        <v>0.9</v>
      </c>
      <c r="O16" s="21">
        <v>0.9</v>
      </c>
      <c r="P16" s="21"/>
      <c r="R16" s="21">
        <v>0.95</v>
      </c>
      <c r="S16" s="21">
        <v>0.95</v>
      </c>
      <c r="T16" s="21"/>
      <c r="V16" s="21">
        <v>0.95</v>
      </c>
      <c r="W16" s="21">
        <v>0.95</v>
      </c>
      <c r="X16" s="21">
        <v>0.95</v>
      </c>
      <c r="Y16" s="21"/>
      <c r="AA16" s="21">
        <v>0.9</v>
      </c>
      <c r="AB16" s="21">
        <v>0.9</v>
      </c>
      <c r="AC16" s="21">
        <v>0.9</v>
      </c>
      <c r="AD16" s="21"/>
      <c r="AF16" s="21"/>
    </row>
    <row r="17" spans="2:83" x14ac:dyDescent="0.25">
      <c r="B17" s="19" t="s">
        <v>17</v>
      </c>
      <c r="F17" s="1">
        <f>F16*F15*F10</f>
        <v>0</v>
      </c>
      <c r="G17" s="1">
        <f t="shared" ref="G17:J17" si="10">G16*G15*G10</f>
        <v>9740.25</v>
      </c>
      <c r="H17" s="1">
        <f t="shared" si="10"/>
        <v>9740.25</v>
      </c>
      <c r="I17" s="1">
        <f t="shared" si="10"/>
        <v>4285.71</v>
      </c>
      <c r="J17" s="1">
        <f t="shared" si="10"/>
        <v>5259.7350000000006</v>
      </c>
      <c r="K17" s="5">
        <f>SUM(F17:J17)</f>
        <v>29025.945</v>
      </c>
      <c r="M17" s="1">
        <f t="shared" ref="M17:O17" si="11">M16*M15*M10</f>
        <v>0</v>
      </c>
      <c r="N17" s="1">
        <f t="shared" si="11"/>
        <v>13636.35</v>
      </c>
      <c r="O17" s="1">
        <f t="shared" si="11"/>
        <v>13636.35</v>
      </c>
      <c r="P17" s="5">
        <f>SUM(M17:O17)</f>
        <v>27272.7</v>
      </c>
      <c r="R17" s="1">
        <f>R16*R15*R10</f>
        <v>6227.25</v>
      </c>
      <c r="S17" s="1">
        <f t="shared" ref="S17" si="12">S16*S15*S10</f>
        <v>1900.9499999999998</v>
      </c>
      <c r="T17" s="1">
        <f>R17+S17</f>
        <v>8128.2</v>
      </c>
      <c r="V17" s="1">
        <f>V16*V15*V10</f>
        <v>7402.5899999999992</v>
      </c>
      <c r="W17" s="1">
        <f t="shared" ref="W17:X17" si="13">W16*W15*W10</f>
        <v>5551.9424999999992</v>
      </c>
      <c r="X17" s="1">
        <f t="shared" si="13"/>
        <v>5551.9424999999992</v>
      </c>
      <c r="Y17" s="5">
        <f>SUM(V17:X17)</f>
        <v>18506.474999999999</v>
      </c>
      <c r="AA17" s="70">
        <f>AA16*AA15*AA10</f>
        <v>6831</v>
      </c>
      <c r="AB17" s="70">
        <f>AB16*AB15*AB10</f>
        <v>3415.5</v>
      </c>
      <c r="AC17" s="1">
        <f t="shared" ref="AC17" si="14">AC16*AC15*AC10</f>
        <v>14060.025</v>
      </c>
      <c r="AD17" s="5">
        <f>SUM(Z17:AC17)</f>
        <v>24306.525000000001</v>
      </c>
      <c r="AF17" s="1">
        <f>AD17+Y17+R17+P17+K17</f>
        <v>105338.89499999999</v>
      </c>
      <c r="AI17" s="46"/>
    </row>
    <row r="19" spans="2:83" x14ac:dyDescent="0.25">
      <c r="B19" s="19" t="s">
        <v>18</v>
      </c>
      <c r="C19" s="16">
        <f>C27+C29+C30+C31+C34+C28</f>
        <v>76607</v>
      </c>
      <c r="D19" s="16">
        <f>D27+D29+D30+D31+D34+D28</f>
        <v>76607</v>
      </c>
      <c r="F19" s="1">
        <f>F17</f>
        <v>0</v>
      </c>
      <c r="G19" s="1">
        <f t="shared" ref="G19:H19" si="15">G17</f>
        <v>9740.25</v>
      </c>
      <c r="H19" s="1">
        <f t="shared" si="15"/>
        <v>9740.25</v>
      </c>
      <c r="I19" s="1"/>
      <c r="J19" s="1"/>
      <c r="K19" s="5">
        <f t="shared" ref="K19:K25" si="16">SUM(F19:J19)</f>
        <v>19480.5</v>
      </c>
      <c r="M19" s="1">
        <f>M17*0.5</f>
        <v>0</v>
      </c>
      <c r="N19" s="1">
        <f>N17*0.8</f>
        <v>10909.080000000002</v>
      </c>
      <c r="O19" s="1">
        <f>O17</f>
        <v>13636.35</v>
      </c>
      <c r="P19" s="5">
        <f t="shared" ref="P19:P25" si="17">SUM(M19:O19)</f>
        <v>24545.43</v>
      </c>
      <c r="R19" s="1"/>
      <c r="S19" s="1"/>
      <c r="T19" s="1">
        <f t="shared" ref="T19:T24" si="18">R19+S19</f>
        <v>0</v>
      </c>
      <c r="V19" s="1">
        <f>V17-V23</f>
        <v>6833.16</v>
      </c>
      <c r="W19" s="1">
        <f t="shared" ref="W19:X19" si="19">W17-W23</f>
        <v>5124.869999999999</v>
      </c>
      <c r="X19" s="1">
        <f t="shared" si="19"/>
        <v>5124.869999999999</v>
      </c>
      <c r="Y19" s="5">
        <f t="shared" ref="Y19:Y25" si="20">SUM(V19:X19)</f>
        <v>17082.899999999998</v>
      </c>
      <c r="AA19" s="1"/>
      <c r="AB19" s="1"/>
      <c r="AC19" s="1">
        <f>AC17*0.95</f>
        <v>13357.023749999998</v>
      </c>
      <c r="AD19" s="5">
        <f t="shared" ref="AD19:AD25" si="21">SUM(Z19:AC19)</f>
        <v>13357.023749999998</v>
      </c>
      <c r="AF19" s="1">
        <f t="shared" ref="AF19:AF25" si="22">AD19+Y19+R19+P19+K19</f>
        <v>74465.853749999995</v>
      </c>
    </row>
    <row r="20" spans="2:83" x14ac:dyDescent="0.25">
      <c r="B20" s="19" t="s">
        <v>79</v>
      </c>
      <c r="F20" s="1"/>
      <c r="G20" s="1"/>
      <c r="H20" s="1"/>
      <c r="I20" s="1"/>
      <c r="J20" s="1">
        <f>J17*0.5</f>
        <v>2629.8675000000003</v>
      </c>
      <c r="K20" s="5">
        <f t="shared" si="16"/>
        <v>2629.8675000000003</v>
      </c>
      <c r="M20" s="1"/>
      <c r="N20" s="1"/>
      <c r="O20" s="1"/>
      <c r="P20" s="5">
        <f t="shared" si="17"/>
        <v>0</v>
      </c>
      <c r="R20" s="1"/>
      <c r="S20" s="1"/>
      <c r="T20" s="1">
        <f t="shared" si="18"/>
        <v>0</v>
      </c>
      <c r="V20" s="1"/>
      <c r="W20" s="1"/>
      <c r="X20" s="1"/>
      <c r="Y20" s="5">
        <f t="shared" si="20"/>
        <v>0</v>
      </c>
      <c r="AA20" s="1"/>
      <c r="AB20" s="1"/>
      <c r="AC20" s="1"/>
      <c r="AD20" s="5"/>
      <c r="AF20" s="1">
        <f t="shared" si="22"/>
        <v>2629.8675000000003</v>
      </c>
    </row>
    <row r="21" spans="2:83" x14ac:dyDescent="0.25">
      <c r="B21" s="19" t="s">
        <v>19</v>
      </c>
      <c r="C21" s="16">
        <f>C33</f>
        <v>1700</v>
      </c>
      <c r="D21" s="16">
        <f>D33</f>
        <v>1700</v>
      </c>
      <c r="F21" s="1"/>
      <c r="G21" s="1"/>
      <c r="H21" s="1"/>
      <c r="I21" s="1"/>
      <c r="J21" s="1"/>
      <c r="K21" s="5">
        <f t="shared" si="16"/>
        <v>0</v>
      </c>
      <c r="M21" s="1">
        <f>M17*0.5</f>
        <v>0</v>
      </c>
      <c r="N21" s="1">
        <f>N17*0.2</f>
        <v>2727.2700000000004</v>
      </c>
      <c r="O21" s="1"/>
      <c r="P21" s="5">
        <f t="shared" si="17"/>
        <v>2727.2700000000004</v>
      </c>
      <c r="R21" s="1"/>
      <c r="S21" s="1"/>
      <c r="T21" s="1">
        <f t="shared" si="18"/>
        <v>0</v>
      </c>
      <c r="V21" s="1"/>
      <c r="W21" s="1"/>
      <c r="X21" s="1"/>
      <c r="Y21" s="5">
        <f t="shared" si="20"/>
        <v>0</v>
      </c>
      <c r="AA21" s="1"/>
      <c r="AB21" s="1"/>
      <c r="AC21" s="1"/>
      <c r="AD21" s="5">
        <f t="shared" si="21"/>
        <v>0</v>
      </c>
      <c r="AF21" s="1">
        <f t="shared" si="22"/>
        <v>2727.2700000000004</v>
      </c>
    </row>
    <row r="22" spans="2:83" x14ac:dyDescent="0.25">
      <c r="B22" s="19" t="s">
        <v>20</v>
      </c>
      <c r="C22" s="16">
        <f>C32</f>
        <v>3750</v>
      </c>
      <c r="D22" s="16">
        <f>D32</f>
        <v>3750</v>
      </c>
      <c r="F22" s="1"/>
      <c r="G22" s="1"/>
      <c r="H22" s="1"/>
      <c r="I22" s="1">
        <f>I17</f>
        <v>4285.71</v>
      </c>
      <c r="J22" s="1"/>
      <c r="K22" s="5">
        <f t="shared" si="16"/>
        <v>4285.71</v>
      </c>
      <c r="M22" s="1"/>
      <c r="N22" s="1"/>
      <c r="O22" s="1"/>
      <c r="P22" s="5">
        <f t="shared" si="17"/>
        <v>0</v>
      </c>
      <c r="R22" s="1"/>
      <c r="S22" s="1"/>
      <c r="T22" s="1">
        <f t="shared" si="18"/>
        <v>0</v>
      </c>
      <c r="V22" s="1"/>
      <c r="W22" s="1"/>
      <c r="X22" s="1"/>
      <c r="Y22" s="5">
        <f t="shared" si="20"/>
        <v>0</v>
      </c>
      <c r="AA22" s="1"/>
      <c r="AB22" s="1"/>
      <c r="AC22" s="1"/>
      <c r="AD22" s="5">
        <f t="shared" si="21"/>
        <v>0</v>
      </c>
      <c r="AF22" s="1">
        <f t="shared" si="22"/>
        <v>4285.71</v>
      </c>
    </row>
    <row r="23" spans="2:83" x14ac:dyDescent="0.25">
      <c r="B23" s="19" t="s">
        <v>21</v>
      </c>
      <c r="C23" s="16">
        <f>C37+C38+C39</f>
        <v>4800</v>
      </c>
      <c r="D23" s="16">
        <f>D37+D38+D39</f>
        <v>4800</v>
      </c>
      <c r="F23" s="1"/>
      <c r="G23" s="1"/>
      <c r="H23" s="1"/>
      <c r="I23" s="1"/>
      <c r="J23" s="1">
        <f>J17*0.5</f>
        <v>2629.8675000000003</v>
      </c>
      <c r="K23" s="5">
        <f t="shared" si="16"/>
        <v>2629.8675000000003</v>
      </c>
      <c r="M23" s="1"/>
      <c r="N23" s="1"/>
      <c r="O23" s="1"/>
      <c r="P23" s="5">
        <f t="shared" si="17"/>
        <v>0</v>
      </c>
      <c r="R23" s="1"/>
      <c r="S23" s="1"/>
      <c r="T23" s="1">
        <f t="shared" si="18"/>
        <v>0</v>
      </c>
      <c r="V23" s="1">
        <f>(V17/V9)*0.06</f>
        <v>569.42999999999984</v>
      </c>
      <c r="W23" s="1">
        <f t="shared" ref="W23:X23" si="23">(W17/W9)*0.06</f>
        <v>427.07249999999993</v>
      </c>
      <c r="X23" s="1">
        <f t="shared" si="23"/>
        <v>427.07249999999993</v>
      </c>
      <c r="Y23" s="5">
        <f t="shared" si="20"/>
        <v>1423.5749999999998</v>
      </c>
      <c r="AA23" s="1">
        <f>AA17*0.08</f>
        <v>546.48</v>
      </c>
      <c r="AB23" s="1">
        <f>AB17*0.08</f>
        <v>273.24</v>
      </c>
      <c r="AC23" s="1">
        <f>AC17*0.05</f>
        <v>703.00125000000003</v>
      </c>
      <c r="AD23" s="5">
        <f t="shared" si="21"/>
        <v>1522.7212500000001</v>
      </c>
      <c r="AF23" s="1">
        <f t="shared" si="22"/>
        <v>5576.1637499999997</v>
      </c>
    </row>
    <row r="24" spans="2:83" x14ac:dyDescent="0.25">
      <c r="B24" s="19" t="s">
        <v>91</v>
      </c>
      <c r="C24" s="16">
        <f>C35</f>
        <v>11780.93</v>
      </c>
      <c r="D24" s="16">
        <f>D35</f>
        <v>11780.93</v>
      </c>
      <c r="F24" s="1"/>
      <c r="G24" s="1"/>
      <c r="H24" s="1"/>
      <c r="I24" s="1"/>
      <c r="J24" s="1"/>
      <c r="K24" s="5">
        <f t="shared" si="16"/>
        <v>0</v>
      </c>
      <c r="M24" s="1"/>
      <c r="N24" s="1"/>
      <c r="O24" s="1"/>
      <c r="P24" s="5">
        <f t="shared" si="17"/>
        <v>0</v>
      </c>
      <c r="R24" s="1">
        <f>R17</f>
        <v>6227.25</v>
      </c>
      <c r="S24" s="1"/>
      <c r="T24" s="1">
        <f t="shared" si="18"/>
        <v>6227.25</v>
      </c>
      <c r="V24" s="1"/>
      <c r="W24" s="1"/>
      <c r="X24" s="1"/>
      <c r="Y24" s="5">
        <f t="shared" si="20"/>
        <v>0</v>
      </c>
      <c r="AA24" s="1">
        <f>AA17-AA23</f>
        <v>6284.52</v>
      </c>
      <c r="AB24" s="1"/>
      <c r="AC24" s="1"/>
      <c r="AD24" s="5">
        <f t="shared" si="21"/>
        <v>6284.52</v>
      </c>
      <c r="AF24" s="1">
        <f t="shared" si="22"/>
        <v>12511.77</v>
      </c>
    </row>
    <row r="25" spans="2:83" x14ac:dyDescent="0.25">
      <c r="B25" s="19" t="s">
        <v>126</v>
      </c>
      <c r="C25" s="16">
        <f>C36</f>
        <v>1880</v>
      </c>
      <c r="D25" s="16">
        <f>D36</f>
        <v>1880</v>
      </c>
      <c r="F25" s="1"/>
      <c r="G25" s="1"/>
      <c r="H25" s="1"/>
      <c r="I25" s="1"/>
      <c r="J25" s="1"/>
      <c r="K25" s="5">
        <f t="shared" si="16"/>
        <v>0</v>
      </c>
      <c r="M25" s="1"/>
      <c r="N25" s="1"/>
      <c r="O25" s="1"/>
      <c r="P25" s="5">
        <f t="shared" si="17"/>
        <v>0</v>
      </c>
      <c r="R25" s="1"/>
      <c r="S25" s="1">
        <f t="shared" ref="S25" si="24">S17</f>
        <v>1900.9499999999998</v>
      </c>
      <c r="T25" s="1">
        <f>R25+S25</f>
        <v>1900.9499999999998</v>
      </c>
      <c r="V25" s="1"/>
      <c r="W25" s="1"/>
      <c r="X25" s="1"/>
      <c r="Y25" s="5">
        <f t="shared" si="20"/>
        <v>0</v>
      </c>
      <c r="AA25" s="1"/>
      <c r="AB25" s="1">
        <f>AB17-AB23</f>
        <v>3142.26</v>
      </c>
      <c r="AC25" s="1"/>
      <c r="AD25" s="5">
        <f t="shared" si="21"/>
        <v>3142.26</v>
      </c>
      <c r="AF25" s="1">
        <f t="shared" si="22"/>
        <v>3142.26</v>
      </c>
      <c r="AH25" s="59"/>
      <c r="AI25" s="82" t="s">
        <v>123</v>
      </c>
      <c r="AJ25" s="82"/>
      <c r="AK25" s="82"/>
      <c r="AL25" s="82"/>
      <c r="AM25" s="82"/>
      <c r="AN25" s="82"/>
      <c r="AP25" s="83" t="s">
        <v>120</v>
      </c>
      <c r="AQ25" s="83"/>
      <c r="AR25" s="83"/>
      <c r="AS25" s="83"/>
      <c r="AT25" s="83"/>
      <c r="AU25" s="83"/>
      <c r="AW25" s="79" t="s">
        <v>108</v>
      </c>
      <c r="AX25" s="79"/>
      <c r="AY25" s="79"/>
      <c r="AZ25" s="79"/>
      <c r="BA25" s="79"/>
      <c r="BC25" s="79" t="s">
        <v>109</v>
      </c>
      <c r="BD25" s="79"/>
      <c r="BE25" s="79"/>
      <c r="BF25" s="79"/>
      <c r="BG25" s="79"/>
      <c r="BI25" s="79" t="s">
        <v>110</v>
      </c>
      <c r="BJ25" s="79"/>
      <c r="BK25" s="79"/>
      <c r="BL25" s="79"/>
      <c r="BM25" s="79"/>
      <c r="BO25" s="79" t="s">
        <v>111</v>
      </c>
      <c r="BP25" s="79"/>
      <c r="BQ25" s="79"/>
      <c r="BR25" s="79"/>
      <c r="BS25" s="79"/>
      <c r="BU25" s="79" t="s">
        <v>112</v>
      </c>
      <c r="BV25" s="79"/>
      <c r="BW25" s="79"/>
      <c r="BX25" s="79"/>
      <c r="BY25" s="79"/>
      <c r="CA25" s="79" t="s">
        <v>113</v>
      </c>
      <c r="CB25" s="79"/>
      <c r="CC25" s="79"/>
      <c r="CD25" s="79"/>
      <c r="CE25" s="79"/>
    </row>
    <row r="26" spans="2:83" x14ac:dyDescent="0.25">
      <c r="K26" s="67"/>
      <c r="P26" s="67"/>
      <c r="Y26" s="67"/>
      <c r="AD26" s="67"/>
      <c r="AH26" s="59"/>
      <c r="AI26" s="68" t="s">
        <v>104</v>
      </c>
      <c r="AJ26" s="68" t="s">
        <v>0</v>
      </c>
      <c r="AK26" s="68" t="s">
        <v>1</v>
      </c>
      <c r="AL26" s="68" t="s">
        <v>105</v>
      </c>
      <c r="AM26" s="68" t="s">
        <v>3</v>
      </c>
      <c r="AN26" s="68" t="s">
        <v>119</v>
      </c>
      <c r="AP26" s="69" t="s">
        <v>104</v>
      </c>
      <c r="AQ26" s="69" t="s">
        <v>0</v>
      </c>
      <c r="AR26" s="69" t="s">
        <v>1</v>
      </c>
      <c r="AS26" s="69" t="s">
        <v>105</v>
      </c>
      <c r="AT26" s="69" t="s">
        <v>3</v>
      </c>
      <c r="AU26" s="69" t="s">
        <v>119</v>
      </c>
      <c r="AW26" s="66" t="s">
        <v>104</v>
      </c>
      <c r="AX26" s="66" t="s">
        <v>0</v>
      </c>
      <c r="AY26" s="66" t="s">
        <v>1</v>
      </c>
      <c r="AZ26" s="66" t="s">
        <v>105</v>
      </c>
      <c r="BA26" s="66" t="s">
        <v>3</v>
      </c>
      <c r="BC26" s="66" t="s">
        <v>104</v>
      </c>
      <c r="BD26" s="66" t="s">
        <v>0</v>
      </c>
      <c r="BE26" s="66" t="s">
        <v>1</v>
      </c>
      <c r="BF26" s="66" t="s">
        <v>105</v>
      </c>
      <c r="BG26" s="66" t="s">
        <v>3</v>
      </c>
      <c r="BI26" s="66" t="s">
        <v>104</v>
      </c>
      <c r="BJ26" s="66" t="s">
        <v>0</v>
      </c>
      <c r="BK26" s="66" t="s">
        <v>1</v>
      </c>
      <c r="BL26" s="66" t="s">
        <v>105</v>
      </c>
      <c r="BM26" s="66" t="s">
        <v>3</v>
      </c>
      <c r="BO26" s="66" t="s">
        <v>104</v>
      </c>
      <c r="BP26" s="66" t="s">
        <v>0</v>
      </c>
      <c r="BQ26" s="66" t="s">
        <v>1</v>
      </c>
      <c r="BR26" s="66" t="s">
        <v>105</v>
      </c>
      <c r="BS26" s="66" t="s">
        <v>3</v>
      </c>
      <c r="BU26" s="66" t="s">
        <v>104</v>
      </c>
      <c r="BV26" s="66" t="s">
        <v>0</v>
      </c>
      <c r="BW26" s="66" t="s">
        <v>1</v>
      </c>
      <c r="BX26" s="66" t="s">
        <v>105</v>
      </c>
      <c r="BY26" s="66" t="s">
        <v>3</v>
      </c>
      <c r="CA26" s="66" t="s">
        <v>104</v>
      </c>
      <c r="CB26" s="66" t="s">
        <v>0</v>
      </c>
      <c r="CC26" s="66" t="s">
        <v>1</v>
      </c>
      <c r="CD26" s="66" t="s">
        <v>105</v>
      </c>
      <c r="CE26" s="66" t="s">
        <v>3</v>
      </c>
    </row>
    <row r="27" spans="2:83" x14ac:dyDescent="0.25">
      <c r="B27" s="16" t="s">
        <v>114</v>
      </c>
      <c r="C27" s="16">
        <f>C64+C68+C69+C82+C91</f>
        <v>23229</v>
      </c>
      <c r="D27" s="16">
        <f>D64+D68+D69+D82+D91</f>
        <v>23229</v>
      </c>
      <c r="E27" s="16">
        <f t="shared" ref="E27:AD27" si="25">E64+E68+E69+E82+E91</f>
        <v>0</v>
      </c>
      <c r="F27" s="16">
        <f t="shared" si="25"/>
        <v>0</v>
      </c>
      <c r="G27" s="16">
        <f t="shared" si="25"/>
        <v>0</v>
      </c>
      <c r="H27" s="16">
        <f t="shared" si="25"/>
        <v>0</v>
      </c>
      <c r="I27" s="16">
        <f t="shared" si="25"/>
        <v>0</v>
      </c>
      <c r="J27" s="16">
        <f t="shared" si="25"/>
        <v>0</v>
      </c>
      <c r="K27" s="16">
        <f t="shared" si="25"/>
        <v>5867.4000000000005</v>
      </c>
      <c r="L27" s="16">
        <f t="shared" si="25"/>
        <v>0</v>
      </c>
      <c r="M27" s="16">
        <f t="shared" si="25"/>
        <v>0</v>
      </c>
      <c r="N27" s="16">
        <f t="shared" si="25"/>
        <v>0</v>
      </c>
      <c r="O27" s="16">
        <f t="shared" si="25"/>
        <v>0</v>
      </c>
      <c r="P27" s="16">
        <f t="shared" si="25"/>
        <v>0</v>
      </c>
      <c r="Q27" s="16">
        <f t="shared" si="25"/>
        <v>0</v>
      </c>
      <c r="R27" s="16">
        <f t="shared" si="25"/>
        <v>0</v>
      </c>
      <c r="S27" s="16">
        <f t="shared" si="25"/>
        <v>0</v>
      </c>
      <c r="T27" s="16">
        <f t="shared" si="25"/>
        <v>0</v>
      </c>
      <c r="U27" s="16">
        <f t="shared" si="25"/>
        <v>0</v>
      </c>
      <c r="V27" s="16">
        <f t="shared" si="25"/>
        <v>0</v>
      </c>
      <c r="W27" s="16">
        <f t="shared" si="25"/>
        <v>0</v>
      </c>
      <c r="X27" s="16">
        <f t="shared" si="25"/>
        <v>0</v>
      </c>
      <c r="Y27" s="16">
        <f t="shared" si="25"/>
        <v>9765.9</v>
      </c>
      <c r="Z27" s="16">
        <f t="shared" si="25"/>
        <v>0</v>
      </c>
      <c r="AA27" s="16">
        <f t="shared" si="25"/>
        <v>0</v>
      </c>
      <c r="AB27" s="16">
        <f t="shared" si="25"/>
        <v>0</v>
      </c>
      <c r="AC27" s="16">
        <f t="shared" si="25"/>
        <v>0</v>
      </c>
      <c r="AD27" s="16">
        <f t="shared" si="25"/>
        <v>7595.7</v>
      </c>
      <c r="AH27" s="59" t="str">
        <f>B27</f>
        <v>Mix and Bake</v>
      </c>
      <c r="AI27" s="1">
        <f>K27</f>
        <v>5867.4000000000005</v>
      </c>
      <c r="AJ27" s="1">
        <f>P27</f>
        <v>0</v>
      </c>
      <c r="AK27" s="1">
        <f t="shared" ref="AK27:AK39" si="26">T27</f>
        <v>0</v>
      </c>
      <c r="AL27" s="1">
        <f>Y27</f>
        <v>9765.9</v>
      </c>
      <c r="AM27" s="1">
        <f>AD27</f>
        <v>7595.7</v>
      </c>
      <c r="AN27" s="1">
        <f>SUM(AI27:AM27)</f>
        <v>23229</v>
      </c>
      <c r="AP27" s="7">
        <f>AI27/0.78</f>
        <v>7522.3076923076924</v>
      </c>
      <c r="AQ27" s="7">
        <f>AJ27/0.78</f>
        <v>0</v>
      </c>
      <c r="AR27" s="7">
        <f>AK27/0.78</f>
        <v>0</v>
      </c>
      <c r="AS27" s="7">
        <f>AL27/0.78</f>
        <v>12520.384615384615</v>
      </c>
      <c r="AT27" s="7">
        <f>AM27/0.78</f>
        <v>9738.076923076922</v>
      </c>
      <c r="AU27" s="7">
        <f>SUM(AP27:AT27)</f>
        <v>29780.76923076923</v>
      </c>
      <c r="AW27" s="46">
        <v>0.25</v>
      </c>
      <c r="AX27" s="46">
        <v>0.25</v>
      </c>
      <c r="AY27" s="46">
        <v>0.25</v>
      </c>
      <c r="AZ27" s="46">
        <v>0.25</v>
      </c>
      <c r="BA27" s="46">
        <v>0.25</v>
      </c>
      <c r="BC27" s="7">
        <f>AW27*AP27</f>
        <v>1880.5769230769231</v>
      </c>
      <c r="BD27" s="7">
        <f>AX27*AQ27</f>
        <v>0</v>
      </c>
      <c r="BE27" s="7">
        <f>AY27*AR27</f>
        <v>0</v>
      </c>
      <c r="BF27" s="7">
        <f>AZ27*AS27</f>
        <v>3130.0961538461538</v>
      </c>
      <c r="BG27" s="7">
        <f>BA27*AT27</f>
        <v>2434.5192307692305</v>
      </c>
      <c r="BI27" s="46">
        <v>0.75</v>
      </c>
      <c r="BJ27" s="46">
        <v>0.75</v>
      </c>
      <c r="BK27" s="46">
        <v>0.75</v>
      </c>
      <c r="BL27" s="46">
        <v>0.75</v>
      </c>
      <c r="BM27" s="46">
        <v>0.75</v>
      </c>
      <c r="BO27" s="7">
        <f>BI27*AP27</f>
        <v>5641.7307692307695</v>
      </c>
      <c r="BP27" s="7">
        <f>BJ27*AQ27</f>
        <v>0</v>
      </c>
      <c r="BQ27" s="7">
        <f>BK27*AR27</f>
        <v>0</v>
      </c>
      <c r="BR27" s="7">
        <f>BL27*AS27</f>
        <v>9390.288461538461</v>
      </c>
      <c r="BS27" s="7">
        <f>BM27*AT27</f>
        <v>7303.5576923076915</v>
      </c>
      <c r="BU27" s="46">
        <v>0</v>
      </c>
      <c r="BV27" s="46">
        <v>0</v>
      </c>
      <c r="BW27" s="46">
        <v>0</v>
      </c>
      <c r="BX27" s="46">
        <v>0</v>
      </c>
      <c r="BY27" s="46">
        <v>0</v>
      </c>
      <c r="CA27" s="7">
        <f>BU27*AP27</f>
        <v>0</v>
      </c>
      <c r="CB27" s="7">
        <f>BV27*AQ27</f>
        <v>0</v>
      </c>
      <c r="CC27" s="7">
        <f>BW27*AR27</f>
        <v>0</v>
      </c>
      <c r="CD27" s="7">
        <f>BX27*AS27</f>
        <v>0</v>
      </c>
      <c r="CE27" s="7">
        <f>BY27*AT27</f>
        <v>0</v>
      </c>
    </row>
    <row r="28" spans="2:83" x14ac:dyDescent="0.25">
      <c r="B28" s="16" t="s">
        <v>115</v>
      </c>
      <c r="C28" s="16">
        <f>C63</f>
        <v>7000</v>
      </c>
      <c r="D28" s="16">
        <f>D63</f>
        <v>7000</v>
      </c>
      <c r="F28" s="16">
        <f t="shared" ref="F28:K28" si="27">F63</f>
        <v>0</v>
      </c>
      <c r="G28" s="16">
        <f t="shared" si="27"/>
        <v>0</v>
      </c>
      <c r="H28" s="16">
        <f t="shared" si="27"/>
        <v>0</v>
      </c>
      <c r="I28" s="16">
        <f t="shared" si="27"/>
        <v>0</v>
      </c>
      <c r="J28" s="16">
        <f t="shared" si="27"/>
        <v>0</v>
      </c>
      <c r="K28" s="16">
        <f t="shared" si="27"/>
        <v>0</v>
      </c>
      <c r="M28" s="16">
        <f t="shared" ref="M28:P28" si="28">M63</f>
        <v>0</v>
      </c>
      <c r="N28" s="16">
        <f t="shared" si="28"/>
        <v>0</v>
      </c>
      <c r="O28" s="16">
        <f t="shared" si="28"/>
        <v>0</v>
      </c>
      <c r="P28" s="16">
        <f t="shared" si="28"/>
        <v>0</v>
      </c>
      <c r="S28" s="16"/>
      <c r="T28" s="16">
        <f>T63</f>
        <v>0</v>
      </c>
      <c r="V28" s="16">
        <f t="shared" ref="V28:Y28" si="29">V63</f>
        <v>0</v>
      </c>
      <c r="W28" s="16">
        <f t="shared" si="29"/>
        <v>0</v>
      </c>
      <c r="X28" s="16">
        <f t="shared" si="29"/>
        <v>0</v>
      </c>
      <c r="Y28" s="16">
        <f t="shared" si="29"/>
        <v>5950</v>
      </c>
      <c r="AA28" s="16">
        <f t="shared" ref="AA28:AD28" si="30">AA63</f>
        <v>0</v>
      </c>
      <c r="AB28" s="16">
        <f t="shared" si="30"/>
        <v>0</v>
      </c>
      <c r="AC28" s="16">
        <f t="shared" si="30"/>
        <v>0</v>
      </c>
      <c r="AD28" s="16">
        <f t="shared" si="30"/>
        <v>1050</v>
      </c>
      <c r="AH28" s="59" t="str">
        <f>B28</f>
        <v>Mix and Bake [SE]</v>
      </c>
      <c r="AI28" s="1">
        <f t="shared" ref="AI28:AI39" si="31">K28</f>
        <v>0</v>
      </c>
      <c r="AJ28" s="1">
        <f t="shared" ref="AJ28:AJ39" si="32">P28</f>
        <v>0</v>
      </c>
      <c r="AK28" s="1">
        <f t="shared" si="26"/>
        <v>0</v>
      </c>
      <c r="AL28" s="1">
        <f t="shared" ref="AL28:AL39" si="33">Y28</f>
        <v>5950</v>
      </c>
      <c r="AM28" s="1">
        <f t="shared" ref="AM28:AM39" si="34">AD28</f>
        <v>1050</v>
      </c>
      <c r="AN28" s="1">
        <f t="shared" ref="AN28:AN39" si="35">SUM(AI28:AM28)</f>
        <v>7000</v>
      </c>
      <c r="AP28" s="7">
        <f t="shared" ref="AP28:AU40" si="36">AI28/0.78</f>
        <v>0</v>
      </c>
      <c r="AQ28" s="7">
        <f t="shared" si="36"/>
        <v>0</v>
      </c>
      <c r="AR28" s="7">
        <f t="shared" si="36"/>
        <v>0</v>
      </c>
      <c r="AS28" s="7">
        <f t="shared" si="36"/>
        <v>7628.2051282051279</v>
      </c>
      <c r="AT28" s="7">
        <f t="shared" si="36"/>
        <v>1346.1538461538462</v>
      </c>
      <c r="AU28" s="7">
        <f t="shared" ref="AU28:AU39" si="37">SUM(AP28:AT28)</f>
        <v>8974.3589743589746</v>
      </c>
      <c r="AW28" s="46">
        <v>0.3</v>
      </c>
      <c r="AX28" s="46">
        <v>0.3</v>
      </c>
      <c r="AY28" s="46">
        <v>0.3</v>
      </c>
      <c r="AZ28" s="46">
        <v>0.3</v>
      </c>
      <c r="BA28" s="46">
        <v>0.3</v>
      </c>
      <c r="BC28" s="7">
        <f t="shared" ref="BC28:BG39" si="38">AW28*AP28</f>
        <v>0</v>
      </c>
      <c r="BD28" s="7">
        <f t="shared" si="38"/>
        <v>0</v>
      </c>
      <c r="BE28" s="7">
        <f t="shared" si="38"/>
        <v>0</v>
      </c>
      <c r="BF28" s="7">
        <f t="shared" si="38"/>
        <v>2288.4615384615381</v>
      </c>
      <c r="BG28" s="7">
        <f t="shared" si="38"/>
        <v>403.84615384615387</v>
      </c>
      <c r="BI28" s="46">
        <v>0.7</v>
      </c>
      <c r="BJ28" s="46">
        <v>0.7</v>
      </c>
      <c r="BK28" s="46">
        <v>0.7</v>
      </c>
      <c r="BL28" s="46">
        <v>0.7</v>
      </c>
      <c r="BM28" s="46">
        <v>0.7</v>
      </c>
      <c r="BO28" s="7">
        <f>BI28*AP28</f>
        <v>0</v>
      </c>
      <c r="BP28" s="7">
        <f t="shared" ref="BP28:BS39" si="39">BJ28*AQ28</f>
        <v>0</v>
      </c>
      <c r="BQ28" s="7">
        <f t="shared" si="39"/>
        <v>0</v>
      </c>
      <c r="BR28" s="7">
        <f t="shared" si="39"/>
        <v>5339.7435897435889</v>
      </c>
      <c r="BS28" s="7">
        <f t="shared" si="39"/>
        <v>942.30769230769226</v>
      </c>
      <c r="BU28" s="46">
        <v>0</v>
      </c>
      <c r="BV28" s="46">
        <v>0</v>
      </c>
      <c r="BW28" s="46">
        <v>0</v>
      </c>
      <c r="BX28" s="46">
        <v>0</v>
      </c>
      <c r="BY28" s="46">
        <v>0</v>
      </c>
      <c r="CA28" s="7">
        <f>BU28*AP28</f>
        <v>0</v>
      </c>
      <c r="CB28" s="7">
        <f t="shared" ref="CB28:CE39" si="40">BV28*AQ28</f>
        <v>0</v>
      </c>
      <c r="CC28" s="7">
        <f t="shared" si="40"/>
        <v>0</v>
      </c>
      <c r="CD28" s="7">
        <f t="shared" si="40"/>
        <v>0</v>
      </c>
      <c r="CE28" s="7">
        <f t="shared" si="40"/>
        <v>0</v>
      </c>
    </row>
    <row r="29" spans="2:83" x14ac:dyDescent="0.25">
      <c r="B29" s="16" t="s">
        <v>87</v>
      </c>
      <c r="C29" s="16">
        <f>C53+C92</f>
        <v>20878</v>
      </c>
      <c r="D29" s="16">
        <f>D53+D92</f>
        <v>20878</v>
      </c>
      <c r="F29" s="16">
        <f t="shared" ref="F29:J29" si="41">F53+F92</f>
        <v>0</v>
      </c>
      <c r="G29" s="16">
        <f t="shared" si="41"/>
        <v>0</v>
      </c>
      <c r="H29" s="16">
        <f t="shared" si="41"/>
        <v>0</v>
      </c>
      <c r="I29" s="16">
        <f t="shared" si="41"/>
        <v>0</v>
      </c>
      <c r="J29" s="16">
        <f t="shared" si="41"/>
        <v>0</v>
      </c>
      <c r="K29" s="16">
        <f>K53+K92</f>
        <v>0</v>
      </c>
      <c r="M29" s="16">
        <f t="shared" ref="M29:O29" si="42">M53+M92</f>
        <v>0</v>
      </c>
      <c r="N29" s="16">
        <f t="shared" si="42"/>
        <v>0</v>
      </c>
      <c r="O29" s="16">
        <f t="shared" si="42"/>
        <v>0</v>
      </c>
      <c r="P29" s="16">
        <f>P53+P92</f>
        <v>19655.32</v>
      </c>
      <c r="S29" s="16"/>
      <c r="T29" s="16">
        <f>T53+T92</f>
        <v>0</v>
      </c>
      <c r="V29" s="16">
        <f t="shared" ref="V29:X29" si="43">V53+V92</f>
        <v>0</v>
      </c>
      <c r="W29" s="16">
        <f t="shared" si="43"/>
        <v>0</v>
      </c>
      <c r="X29" s="16">
        <f t="shared" si="43"/>
        <v>0</v>
      </c>
      <c r="Y29" s="16">
        <f>Y53+Y92</f>
        <v>1222.68</v>
      </c>
      <c r="AA29" s="16">
        <f t="shared" ref="AA29:AC29" si="44">AA53+AA92</f>
        <v>0</v>
      </c>
      <c r="AB29" s="16">
        <f t="shared" si="44"/>
        <v>0</v>
      </c>
      <c r="AC29" s="16">
        <f t="shared" si="44"/>
        <v>0</v>
      </c>
      <c r="AD29" s="16">
        <f>AD53+AD92</f>
        <v>0</v>
      </c>
      <c r="AH29" s="59" t="str">
        <f t="shared" ref="AH29:AH39" si="45">B29</f>
        <v>MGF</v>
      </c>
      <c r="AI29" s="1">
        <f t="shared" si="31"/>
        <v>0</v>
      </c>
      <c r="AJ29" s="1">
        <f t="shared" si="32"/>
        <v>19655.32</v>
      </c>
      <c r="AK29" s="1">
        <f t="shared" si="26"/>
        <v>0</v>
      </c>
      <c r="AL29" s="1">
        <f t="shared" si="33"/>
        <v>1222.68</v>
      </c>
      <c r="AM29" s="1">
        <f t="shared" si="34"/>
        <v>0</v>
      </c>
      <c r="AN29" s="1">
        <f t="shared" si="35"/>
        <v>20878</v>
      </c>
      <c r="AP29" s="7">
        <f t="shared" si="36"/>
        <v>0</v>
      </c>
      <c r="AQ29" s="7">
        <f t="shared" si="36"/>
        <v>25199.128205128203</v>
      </c>
      <c r="AR29" s="7">
        <f t="shared" si="36"/>
        <v>0</v>
      </c>
      <c r="AS29" s="7">
        <f t="shared" si="36"/>
        <v>1567.5384615384617</v>
      </c>
      <c r="AT29" s="7">
        <f t="shared" si="36"/>
        <v>0</v>
      </c>
      <c r="AU29" s="7">
        <f t="shared" si="37"/>
        <v>26766.666666666664</v>
      </c>
      <c r="AW29" s="46">
        <v>0.6</v>
      </c>
      <c r="AX29" s="46">
        <v>0.6</v>
      </c>
      <c r="AY29" s="46">
        <v>0.6</v>
      </c>
      <c r="AZ29" s="46">
        <v>0.6</v>
      </c>
      <c r="BA29" s="46">
        <v>0.6</v>
      </c>
      <c r="BC29" s="7">
        <f t="shared" si="38"/>
        <v>0</v>
      </c>
      <c r="BD29" s="7">
        <f t="shared" si="38"/>
        <v>15119.476923076922</v>
      </c>
      <c r="BE29" s="7">
        <f t="shared" si="38"/>
        <v>0</v>
      </c>
      <c r="BF29" s="7">
        <f t="shared" si="38"/>
        <v>940.52307692307693</v>
      </c>
      <c r="BG29" s="7">
        <f t="shared" si="38"/>
        <v>0</v>
      </c>
      <c r="BI29" s="46">
        <v>0.4</v>
      </c>
      <c r="BJ29" s="46">
        <v>0.4</v>
      </c>
      <c r="BK29" s="46">
        <v>0.4</v>
      </c>
      <c r="BL29" s="46">
        <v>0.4</v>
      </c>
      <c r="BM29" s="46">
        <v>0.4</v>
      </c>
      <c r="BO29" s="7">
        <f t="shared" ref="BO29:BO39" si="46">BI29*AP29</f>
        <v>0</v>
      </c>
      <c r="BP29" s="7">
        <f t="shared" si="39"/>
        <v>10079.651282051282</v>
      </c>
      <c r="BQ29" s="7">
        <f t="shared" si="39"/>
        <v>0</v>
      </c>
      <c r="BR29" s="7">
        <f t="shared" si="39"/>
        <v>627.01538461538473</v>
      </c>
      <c r="BS29" s="7">
        <f t="shared" si="39"/>
        <v>0</v>
      </c>
      <c r="BU29" s="46">
        <v>0</v>
      </c>
      <c r="BV29" s="46">
        <v>0</v>
      </c>
      <c r="BW29" s="46">
        <v>0</v>
      </c>
      <c r="BX29" s="46">
        <v>0</v>
      </c>
      <c r="BY29" s="46">
        <v>0</v>
      </c>
      <c r="CA29" s="7">
        <f t="shared" ref="CA29:CA39" si="47">BU29*AP29</f>
        <v>0</v>
      </c>
      <c r="CB29" s="7">
        <f t="shared" si="40"/>
        <v>0</v>
      </c>
      <c r="CC29" s="7">
        <f t="shared" si="40"/>
        <v>0</v>
      </c>
      <c r="CD29" s="7">
        <f t="shared" si="40"/>
        <v>0</v>
      </c>
      <c r="CE29" s="7">
        <f t="shared" si="40"/>
        <v>0</v>
      </c>
    </row>
    <row r="30" spans="2:83" x14ac:dyDescent="0.25">
      <c r="B30" s="16" t="s">
        <v>88</v>
      </c>
      <c r="C30" s="16">
        <f>C54</f>
        <v>6250</v>
      </c>
      <c r="D30" s="16">
        <f>D54</f>
        <v>6250</v>
      </c>
      <c r="F30" s="16">
        <f t="shared" ref="F30:K30" si="48">F54</f>
        <v>0</v>
      </c>
      <c r="G30" s="16">
        <f t="shared" si="48"/>
        <v>0</v>
      </c>
      <c r="H30" s="16">
        <f t="shared" si="48"/>
        <v>0</v>
      </c>
      <c r="I30" s="16">
        <f t="shared" si="48"/>
        <v>0</v>
      </c>
      <c r="J30" s="16">
        <f t="shared" si="48"/>
        <v>0</v>
      </c>
      <c r="K30" s="16">
        <f t="shared" si="48"/>
        <v>0</v>
      </c>
      <c r="M30" s="16">
        <f t="shared" ref="M30:P30" si="49">M54</f>
        <v>0</v>
      </c>
      <c r="N30" s="16">
        <f t="shared" si="49"/>
        <v>0</v>
      </c>
      <c r="O30" s="16">
        <f t="shared" si="49"/>
        <v>0</v>
      </c>
      <c r="P30" s="16">
        <f t="shared" si="49"/>
        <v>6250</v>
      </c>
      <c r="S30" s="16"/>
      <c r="T30" s="16">
        <f>T54</f>
        <v>0</v>
      </c>
      <c r="V30" s="16">
        <f t="shared" ref="V30:Y30" si="50">V54</f>
        <v>0</v>
      </c>
      <c r="W30" s="16">
        <f t="shared" si="50"/>
        <v>0</v>
      </c>
      <c r="X30" s="16">
        <f t="shared" si="50"/>
        <v>0</v>
      </c>
      <c r="Y30" s="16">
        <f t="shared" si="50"/>
        <v>0</v>
      </c>
      <c r="AA30" s="16">
        <f t="shared" ref="AA30:AD30" si="51">AA54</f>
        <v>0</v>
      </c>
      <c r="AB30" s="16">
        <f t="shared" si="51"/>
        <v>0</v>
      </c>
      <c r="AC30" s="16">
        <f t="shared" si="51"/>
        <v>0</v>
      </c>
      <c r="AD30" s="16">
        <f t="shared" si="51"/>
        <v>0</v>
      </c>
      <c r="AH30" s="59" t="str">
        <f t="shared" si="45"/>
        <v>Bakewell</v>
      </c>
      <c r="AI30" s="1">
        <f t="shared" si="31"/>
        <v>0</v>
      </c>
      <c r="AJ30" s="1">
        <f t="shared" si="32"/>
        <v>6250</v>
      </c>
      <c r="AK30" s="1">
        <f t="shared" si="26"/>
        <v>0</v>
      </c>
      <c r="AL30" s="1">
        <f t="shared" si="33"/>
        <v>0</v>
      </c>
      <c r="AM30" s="1">
        <f t="shared" si="34"/>
        <v>0</v>
      </c>
      <c r="AN30" s="1">
        <f t="shared" si="35"/>
        <v>6250</v>
      </c>
      <c r="AP30" s="7">
        <f t="shared" si="36"/>
        <v>0</v>
      </c>
      <c r="AQ30" s="7">
        <f t="shared" si="36"/>
        <v>8012.8205128205127</v>
      </c>
      <c r="AR30" s="7">
        <f t="shared" si="36"/>
        <v>0</v>
      </c>
      <c r="AS30" s="7">
        <f t="shared" si="36"/>
        <v>0</v>
      </c>
      <c r="AT30" s="7">
        <f t="shared" si="36"/>
        <v>0</v>
      </c>
      <c r="AU30" s="7">
        <f t="shared" si="37"/>
        <v>8012.8205128205127</v>
      </c>
      <c r="AW30" s="46">
        <v>0.1</v>
      </c>
      <c r="AX30" s="46">
        <v>0.1</v>
      </c>
      <c r="AY30" s="46">
        <v>0.1</v>
      </c>
      <c r="AZ30" s="46">
        <v>0.1</v>
      </c>
      <c r="BA30" s="46">
        <v>0.1</v>
      </c>
      <c r="BC30" s="7">
        <f t="shared" si="38"/>
        <v>0</v>
      </c>
      <c r="BD30" s="7">
        <f t="shared" si="38"/>
        <v>801.28205128205127</v>
      </c>
      <c r="BE30" s="7">
        <f t="shared" si="38"/>
        <v>0</v>
      </c>
      <c r="BF30" s="7">
        <f t="shared" si="38"/>
        <v>0</v>
      </c>
      <c r="BG30" s="7">
        <f t="shared" si="38"/>
        <v>0</v>
      </c>
      <c r="BI30" s="46">
        <v>0.9</v>
      </c>
      <c r="BJ30" s="46">
        <v>0.9</v>
      </c>
      <c r="BK30" s="46">
        <v>0.9</v>
      </c>
      <c r="BL30" s="46">
        <v>0.9</v>
      </c>
      <c r="BM30" s="46">
        <v>0.9</v>
      </c>
      <c r="BO30" s="7">
        <f t="shared" si="46"/>
        <v>0</v>
      </c>
      <c r="BP30" s="7">
        <f t="shared" si="39"/>
        <v>7211.5384615384619</v>
      </c>
      <c r="BQ30" s="7">
        <f t="shared" si="39"/>
        <v>0</v>
      </c>
      <c r="BR30" s="7">
        <f t="shared" si="39"/>
        <v>0</v>
      </c>
      <c r="BS30" s="7">
        <f t="shared" si="39"/>
        <v>0</v>
      </c>
      <c r="BU30" s="46">
        <v>0</v>
      </c>
      <c r="BV30" s="46">
        <v>0</v>
      </c>
      <c r="BW30" s="46">
        <v>0</v>
      </c>
      <c r="BX30" s="46">
        <v>0</v>
      </c>
      <c r="BY30" s="46">
        <v>0</v>
      </c>
      <c r="CA30" s="7">
        <f t="shared" si="47"/>
        <v>0</v>
      </c>
      <c r="CB30" s="7">
        <f t="shared" si="40"/>
        <v>0</v>
      </c>
      <c r="CC30" s="7">
        <f t="shared" si="40"/>
        <v>0</v>
      </c>
      <c r="CD30" s="7">
        <f t="shared" si="40"/>
        <v>0</v>
      </c>
      <c r="CE30" s="7">
        <f t="shared" si="40"/>
        <v>0</v>
      </c>
    </row>
    <row r="31" spans="2:83" x14ac:dyDescent="0.25">
      <c r="B31" s="16" t="s">
        <v>116</v>
      </c>
      <c r="C31" s="16">
        <f>C65</f>
        <v>18750</v>
      </c>
      <c r="D31" s="16">
        <f>D65</f>
        <v>18750</v>
      </c>
      <c r="F31" s="16">
        <f t="shared" ref="F31:K31" si="52">F65</f>
        <v>0</v>
      </c>
      <c r="G31" s="16">
        <f t="shared" si="52"/>
        <v>0</v>
      </c>
      <c r="H31" s="16">
        <f t="shared" si="52"/>
        <v>0</v>
      </c>
      <c r="I31" s="16">
        <f t="shared" si="52"/>
        <v>0</v>
      </c>
      <c r="J31" s="16">
        <f t="shared" si="52"/>
        <v>0</v>
      </c>
      <c r="K31" s="16">
        <f t="shared" si="52"/>
        <v>14062.5</v>
      </c>
      <c r="M31" s="16">
        <f t="shared" ref="M31:P31" si="53">M65</f>
        <v>0</v>
      </c>
      <c r="N31" s="16">
        <f t="shared" si="53"/>
        <v>0</v>
      </c>
      <c r="O31" s="16">
        <f t="shared" si="53"/>
        <v>0</v>
      </c>
      <c r="P31" s="16">
        <f t="shared" si="53"/>
        <v>0</v>
      </c>
      <c r="S31" s="16"/>
      <c r="T31" s="16">
        <f>T65</f>
        <v>0</v>
      </c>
      <c r="V31" s="16">
        <f t="shared" ref="V31:Y31" si="54">V65</f>
        <v>0</v>
      </c>
      <c r="W31" s="16">
        <f t="shared" si="54"/>
        <v>0</v>
      </c>
      <c r="X31" s="16">
        <f t="shared" si="54"/>
        <v>0</v>
      </c>
      <c r="Y31" s="16">
        <f t="shared" si="54"/>
        <v>0</v>
      </c>
      <c r="AA31" s="16">
        <f t="shared" ref="AA31:AD31" si="55">AA65</f>
        <v>0</v>
      </c>
      <c r="AB31" s="16">
        <f t="shared" si="55"/>
        <v>0</v>
      </c>
      <c r="AC31" s="16">
        <f t="shared" si="55"/>
        <v>0</v>
      </c>
      <c r="AD31" s="16">
        <f t="shared" si="55"/>
        <v>4687.5</v>
      </c>
      <c r="AH31" s="59" t="str">
        <f t="shared" si="45"/>
        <v>Bua Premium</v>
      </c>
      <c r="AI31" s="1">
        <f t="shared" si="31"/>
        <v>14062.5</v>
      </c>
      <c r="AJ31" s="1">
        <f t="shared" si="32"/>
        <v>0</v>
      </c>
      <c r="AK31" s="1">
        <f t="shared" si="26"/>
        <v>0</v>
      </c>
      <c r="AL31" s="1">
        <f t="shared" si="33"/>
        <v>0</v>
      </c>
      <c r="AM31" s="1">
        <f t="shared" si="34"/>
        <v>4687.5</v>
      </c>
      <c r="AN31" s="1">
        <f t="shared" si="35"/>
        <v>18750</v>
      </c>
      <c r="AP31" s="7">
        <f t="shared" si="36"/>
        <v>18028.846153846152</v>
      </c>
      <c r="AQ31" s="7">
        <f t="shared" si="36"/>
        <v>0</v>
      </c>
      <c r="AR31" s="7">
        <f t="shared" si="36"/>
        <v>0</v>
      </c>
      <c r="AS31" s="7">
        <f t="shared" si="36"/>
        <v>0</v>
      </c>
      <c r="AT31" s="7">
        <f t="shared" si="36"/>
        <v>6009.6153846153848</v>
      </c>
      <c r="AU31" s="7">
        <f t="shared" si="37"/>
        <v>24038.461538461539</v>
      </c>
      <c r="AW31" s="46">
        <v>0</v>
      </c>
      <c r="AX31" s="46">
        <v>0</v>
      </c>
      <c r="AY31" s="46">
        <v>0</v>
      </c>
      <c r="AZ31" s="46">
        <v>0</v>
      </c>
      <c r="BA31" s="46">
        <v>0</v>
      </c>
      <c r="BC31" s="7">
        <f t="shared" si="38"/>
        <v>0</v>
      </c>
      <c r="BD31" s="7">
        <f t="shared" si="38"/>
        <v>0</v>
      </c>
      <c r="BE31" s="7">
        <f t="shared" si="38"/>
        <v>0</v>
      </c>
      <c r="BF31" s="7">
        <f t="shared" si="38"/>
        <v>0</v>
      </c>
      <c r="BG31" s="7">
        <f t="shared" si="38"/>
        <v>0</v>
      </c>
      <c r="BI31" s="46">
        <v>1</v>
      </c>
      <c r="BJ31" s="46">
        <v>1</v>
      </c>
      <c r="BK31" s="46">
        <v>1</v>
      </c>
      <c r="BL31" s="46">
        <v>1</v>
      </c>
      <c r="BM31" s="46">
        <v>1</v>
      </c>
      <c r="BO31" s="7">
        <f t="shared" si="46"/>
        <v>18028.846153846152</v>
      </c>
      <c r="BP31" s="7">
        <f t="shared" si="39"/>
        <v>0</v>
      </c>
      <c r="BQ31" s="7">
        <f t="shared" si="39"/>
        <v>0</v>
      </c>
      <c r="BR31" s="7">
        <f t="shared" si="39"/>
        <v>0</v>
      </c>
      <c r="BS31" s="7">
        <f t="shared" si="39"/>
        <v>6009.6153846153848</v>
      </c>
      <c r="BU31" s="46">
        <v>0</v>
      </c>
      <c r="BV31" s="46">
        <v>0</v>
      </c>
      <c r="BW31" s="46">
        <v>0</v>
      </c>
      <c r="BX31" s="46">
        <v>0</v>
      </c>
      <c r="BY31" s="46">
        <v>0</v>
      </c>
      <c r="CA31" s="7">
        <f t="shared" si="47"/>
        <v>0</v>
      </c>
      <c r="CB31" s="7">
        <f t="shared" si="40"/>
        <v>0</v>
      </c>
      <c r="CC31" s="7">
        <f t="shared" si="40"/>
        <v>0</v>
      </c>
      <c r="CD31" s="7">
        <f t="shared" si="40"/>
        <v>0</v>
      </c>
      <c r="CE31" s="7">
        <f t="shared" si="40"/>
        <v>0</v>
      </c>
    </row>
    <row r="32" spans="2:83" x14ac:dyDescent="0.25">
      <c r="B32" s="16" t="s">
        <v>70</v>
      </c>
      <c r="C32" s="16">
        <f>C46+C67</f>
        <v>3750</v>
      </c>
      <c r="D32" s="16">
        <f>D46+D67</f>
        <v>3750</v>
      </c>
      <c r="F32" s="16">
        <f t="shared" ref="F32:K32" si="56">F46+F67</f>
        <v>0</v>
      </c>
      <c r="G32" s="16">
        <f t="shared" si="56"/>
        <v>0</v>
      </c>
      <c r="H32" s="16">
        <f t="shared" si="56"/>
        <v>0</v>
      </c>
      <c r="I32" s="16">
        <f t="shared" si="56"/>
        <v>0</v>
      </c>
      <c r="J32" s="16">
        <f t="shared" si="56"/>
        <v>0</v>
      </c>
      <c r="K32" s="16">
        <f t="shared" si="56"/>
        <v>3750</v>
      </c>
      <c r="M32" s="16">
        <f t="shared" ref="M32:P32" si="57">M46+M67</f>
        <v>0</v>
      </c>
      <c r="N32" s="16">
        <f t="shared" si="57"/>
        <v>0</v>
      </c>
      <c r="O32" s="16">
        <f t="shared" si="57"/>
        <v>0</v>
      </c>
      <c r="P32" s="16">
        <f t="shared" si="57"/>
        <v>0</v>
      </c>
      <c r="S32" s="16"/>
      <c r="T32" s="16">
        <f>T46+T67</f>
        <v>0</v>
      </c>
      <c r="V32" s="16">
        <f t="shared" ref="V32:Y32" si="58">V46+V67</f>
        <v>0</v>
      </c>
      <c r="W32" s="16">
        <f t="shared" si="58"/>
        <v>0</v>
      </c>
      <c r="X32" s="16">
        <f t="shared" si="58"/>
        <v>0</v>
      </c>
      <c r="Y32" s="16">
        <f t="shared" si="58"/>
        <v>0</v>
      </c>
      <c r="AA32" s="16">
        <f t="shared" ref="AA32:AD32" si="59">AA46+AA67</f>
        <v>0</v>
      </c>
      <c r="AB32" s="16">
        <f t="shared" si="59"/>
        <v>0</v>
      </c>
      <c r="AC32" s="16">
        <f t="shared" si="59"/>
        <v>0</v>
      </c>
      <c r="AD32" s="16">
        <f t="shared" si="59"/>
        <v>0</v>
      </c>
      <c r="AH32" s="59" t="str">
        <f t="shared" si="45"/>
        <v>Biscuit Flour</v>
      </c>
      <c r="AI32" s="1">
        <f t="shared" si="31"/>
        <v>3750</v>
      </c>
      <c r="AJ32" s="1">
        <f t="shared" si="32"/>
        <v>0</v>
      </c>
      <c r="AK32" s="1">
        <f t="shared" si="26"/>
        <v>0</v>
      </c>
      <c r="AL32" s="1">
        <f t="shared" si="33"/>
        <v>0</v>
      </c>
      <c r="AM32" s="1">
        <f t="shared" si="34"/>
        <v>0</v>
      </c>
      <c r="AN32" s="1">
        <f t="shared" si="35"/>
        <v>3750</v>
      </c>
      <c r="AP32" s="7">
        <f t="shared" si="36"/>
        <v>4807.6923076923076</v>
      </c>
      <c r="AQ32" s="7">
        <f t="shared" si="36"/>
        <v>0</v>
      </c>
      <c r="AR32" s="7">
        <f t="shared" si="36"/>
        <v>0</v>
      </c>
      <c r="AS32" s="7">
        <f t="shared" si="36"/>
        <v>0</v>
      </c>
      <c r="AT32" s="7">
        <f t="shared" si="36"/>
        <v>0</v>
      </c>
      <c r="AU32" s="7">
        <f t="shared" si="37"/>
        <v>4807.6923076923076</v>
      </c>
      <c r="AW32" s="46">
        <v>0</v>
      </c>
      <c r="AX32" s="46">
        <v>0</v>
      </c>
      <c r="AY32" s="46">
        <v>0</v>
      </c>
      <c r="AZ32" s="46">
        <v>0</v>
      </c>
      <c r="BA32" s="46">
        <v>0</v>
      </c>
      <c r="BC32" s="7">
        <f t="shared" si="38"/>
        <v>0</v>
      </c>
      <c r="BD32" s="7">
        <f t="shared" si="38"/>
        <v>0</v>
      </c>
      <c r="BE32" s="7">
        <f t="shared" si="38"/>
        <v>0</v>
      </c>
      <c r="BF32" s="7">
        <f t="shared" si="38"/>
        <v>0</v>
      </c>
      <c r="BG32" s="7">
        <f t="shared" si="38"/>
        <v>0</v>
      </c>
      <c r="BI32" s="46">
        <v>0.1</v>
      </c>
      <c r="BJ32" s="46">
        <v>0.1</v>
      </c>
      <c r="BK32" s="46">
        <v>0.1</v>
      </c>
      <c r="BL32" s="46">
        <v>0.1</v>
      </c>
      <c r="BM32" s="46">
        <v>0.1</v>
      </c>
      <c r="BO32" s="7">
        <f t="shared" si="46"/>
        <v>480.76923076923077</v>
      </c>
      <c r="BP32" s="7">
        <f t="shared" si="39"/>
        <v>0</v>
      </c>
      <c r="BQ32" s="7">
        <f t="shared" si="39"/>
        <v>0</v>
      </c>
      <c r="BR32" s="7">
        <f t="shared" si="39"/>
        <v>0</v>
      </c>
      <c r="BS32" s="7">
        <f t="shared" si="39"/>
        <v>0</v>
      </c>
      <c r="BU32" s="46">
        <v>0.9</v>
      </c>
      <c r="BV32" s="46">
        <v>0.9</v>
      </c>
      <c r="BW32" s="46">
        <v>0.9</v>
      </c>
      <c r="BX32" s="46">
        <v>0.9</v>
      </c>
      <c r="BY32" s="46">
        <v>0.9</v>
      </c>
      <c r="CA32" s="7">
        <f t="shared" si="47"/>
        <v>4326.9230769230771</v>
      </c>
      <c r="CB32" s="7">
        <f t="shared" si="40"/>
        <v>0</v>
      </c>
      <c r="CC32" s="7">
        <f t="shared" si="40"/>
        <v>0</v>
      </c>
      <c r="CD32" s="7">
        <f t="shared" si="40"/>
        <v>0</v>
      </c>
      <c r="CE32" s="7">
        <f t="shared" si="40"/>
        <v>0</v>
      </c>
    </row>
    <row r="33" spans="1:83" x14ac:dyDescent="0.25">
      <c r="B33" s="16" t="s">
        <v>117</v>
      </c>
      <c r="C33" s="16">
        <f>C47+C70</f>
        <v>1700</v>
      </c>
      <c r="D33" s="16">
        <f>D47+D70</f>
        <v>1700</v>
      </c>
      <c r="F33" s="16">
        <f t="shared" ref="F33:K33" si="60">F47+F70</f>
        <v>0</v>
      </c>
      <c r="G33" s="16">
        <f t="shared" si="60"/>
        <v>0</v>
      </c>
      <c r="H33" s="16">
        <f t="shared" si="60"/>
        <v>0</v>
      </c>
      <c r="I33" s="16">
        <f t="shared" si="60"/>
        <v>0</v>
      </c>
      <c r="J33" s="16">
        <f t="shared" si="60"/>
        <v>0</v>
      </c>
      <c r="K33" s="16">
        <f t="shared" si="60"/>
        <v>0</v>
      </c>
      <c r="M33" s="16">
        <f t="shared" ref="M33:P33" si="61">M47+M70</f>
        <v>0</v>
      </c>
      <c r="N33" s="16">
        <f t="shared" si="61"/>
        <v>0</v>
      </c>
      <c r="O33" s="16">
        <f t="shared" si="61"/>
        <v>0</v>
      </c>
      <c r="P33" s="16">
        <f t="shared" si="61"/>
        <v>1530</v>
      </c>
      <c r="S33" s="16"/>
      <c r="T33" s="16">
        <f>T47+T70</f>
        <v>0</v>
      </c>
      <c r="V33" s="16">
        <f t="shared" ref="V33:Y33" si="62">V47+V70</f>
        <v>0</v>
      </c>
      <c r="W33" s="16">
        <f t="shared" si="62"/>
        <v>0</v>
      </c>
      <c r="X33" s="16">
        <f t="shared" si="62"/>
        <v>0</v>
      </c>
      <c r="Y33" s="16">
        <f t="shared" si="62"/>
        <v>0</v>
      </c>
      <c r="AA33" s="16">
        <f t="shared" ref="AA33:AD33" si="63">AA47+AA70</f>
        <v>0</v>
      </c>
      <c r="AB33" s="16">
        <f t="shared" si="63"/>
        <v>0</v>
      </c>
      <c r="AC33" s="16">
        <f t="shared" si="63"/>
        <v>0</v>
      </c>
      <c r="AD33" s="16">
        <f t="shared" si="63"/>
        <v>170</v>
      </c>
      <c r="AH33" s="59" t="str">
        <f t="shared" si="45"/>
        <v>Noodles Flour</v>
      </c>
      <c r="AI33" s="1">
        <f t="shared" si="31"/>
        <v>0</v>
      </c>
      <c r="AJ33" s="1">
        <f t="shared" si="32"/>
        <v>1530</v>
      </c>
      <c r="AK33" s="1">
        <f t="shared" si="26"/>
        <v>0</v>
      </c>
      <c r="AL33" s="1">
        <f t="shared" si="33"/>
        <v>0</v>
      </c>
      <c r="AM33" s="1">
        <f t="shared" si="34"/>
        <v>170</v>
      </c>
      <c r="AN33" s="1">
        <f t="shared" si="35"/>
        <v>1700</v>
      </c>
      <c r="AP33" s="7">
        <f t="shared" si="36"/>
        <v>0</v>
      </c>
      <c r="AQ33" s="7">
        <f t="shared" si="36"/>
        <v>1961.5384615384614</v>
      </c>
      <c r="AR33" s="7">
        <f t="shared" si="36"/>
        <v>0</v>
      </c>
      <c r="AS33" s="7">
        <f t="shared" si="36"/>
        <v>0</v>
      </c>
      <c r="AT33" s="7">
        <f t="shared" si="36"/>
        <v>217.94871794871793</v>
      </c>
      <c r="AU33" s="7">
        <f t="shared" si="37"/>
        <v>2179.4871794871792</v>
      </c>
      <c r="AW33" s="46">
        <v>0.2</v>
      </c>
      <c r="AX33" s="46">
        <v>0.2</v>
      </c>
      <c r="AY33" s="46">
        <v>0.2</v>
      </c>
      <c r="AZ33" s="46">
        <v>0.2</v>
      </c>
      <c r="BA33" s="46">
        <v>0.2</v>
      </c>
      <c r="BC33" s="7">
        <f t="shared" si="38"/>
        <v>0</v>
      </c>
      <c r="BD33" s="7">
        <f t="shared" si="38"/>
        <v>392.30769230769232</v>
      </c>
      <c r="BE33" s="7">
        <f t="shared" si="38"/>
        <v>0</v>
      </c>
      <c r="BF33" s="7">
        <f t="shared" si="38"/>
        <v>0</v>
      </c>
      <c r="BG33" s="7">
        <f t="shared" si="38"/>
        <v>43.589743589743591</v>
      </c>
      <c r="BI33" s="46">
        <v>0.8</v>
      </c>
      <c r="BJ33" s="46">
        <v>0.8</v>
      </c>
      <c r="BK33" s="46">
        <v>0.8</v>
      </c>
      <c r="BL33" s="46">
        <v>0.8</v>
      </c>
      <c r="BM33" s="46">
        <v>0.8</v>
      </c>
      <c r="BO33" s="7">
        <f t="shared" si="46"/>
        <v>0</v>
      </c>
      <c r="BP33" s="7">
        <f t="shared" si="39"/>
        <v>1569.2307692307693</v>
      </c>
      <c r="BQ33" s="7">
        <f t="shared" si="39"/>
        <v>0</v>
      </c>
      <c r="BR33" s="7">
        <f t="shared" si="39"/>
        <v>0</v>
      </c>
      <c r="BS33" s="7">
        <f t="shared" si="39"/>
        <v>174.35897435897436</v>
      </c>
      <c r="BU33" s="46">
        <v>0</v>
      </c>
      <c r="BV33" s="46">
        <v>0</v>
      </c>
      <c r="BW33" s="46">
        <v>0</v>
      </c>
      <c r="BX33" s="46">
        <v>0</v>
      </c>
      <c r="BY33" s="46">
        <v>0</v>
      </c>
      <c r="CA33" s="7">
        <f t="shared" si="47"/>
        <v>0</v>
      </c>
      <c r="CB33" s="7">
        <f t="shared" si="40"/>
        <v>0</v>
      </c>
      <c r="CC33" s="7">
        <f t="shared" si="40"/>
        <v>0</v>
      </c>
      <c r="CD33" s="7">
        <f t="shared" si="40"/>
        <v>0</v>
      </c>
      <c r="CE33" s="7">
        <f t="shared" si="40"/>
        <v>0</v>
      </c>
    </row>
    <row r="34" spans="1:83" x14ac:dyDescent="0.25">
      <c r="B34" s="16" t="s">
        <v>118</v>
      </c>
      <c r="C34" s="16">
        <f>C50</f>
        <v>500</v>
      </c>
      <c r="D34" s="16">
        <f>D50</f>
        <v>500</v>
      </c>
      <c r="F34" s="16">
        <f t="shared" ref="F34:K34" si="64">F50</f>
        <v>0</v>
      </c>
      <c r="G34" s="16">
        <f t="shared" si="64"/>
        <v>0</v>
      </c>
      <c r="H34" s="16">
        <f t="shared" si="64"/>
        <v>0</v>
      </c>
      <c r="I34" s="16">
        <f t="shared" si="64"/>
        <v>0</v>
      </c>
      <c r="J34" s="16">
        <f t="shared" si="64"/>
        <v>0</v>
      </c>
      <c r="K34" s="16">
        <f t="shared" si="64"/>
        <v>0</v>
      </c>
      <c r="M34" s="16">
        <f t="shared" ref="M34:P34" si="65">M50</f>
        <v>0</v>
      </c>
      <c r="N34" s="16">
        <f t="shared" si="65"/>
        <v>0</v>
      </c>
      <c r="O34" s="16">
        <f t="shared" si="65"/>
        <v>0</v>
      </c>
      <c r="P34" s="16">
        <f t="shared" si="65"/>
        <v>0</v>
      </c>
      <c r="S34" s="16"/>
      <c r="T34" s="16">
        <f>T50</f>
        <v>0</v>
      </c>
      <c r="V34" s="16">
        <f t="shared" ref="V34:Y34" si="66">V50</f>
        <v>0</v>
      </c>
      <c r="W34" s="16">
        <f t="shared" si="66"/>
        <v>0</v>
      </c>
      <c r="X34" s="16">
        <f t="shared" si="66"/>
        <v>0</v>
      </c>
      <c r="Y34" s="16">
        <f t="shared" si="66"/>
        <v>500</v>
      </c>
      <c r="AA34" s="16">
        <f t="shared" ref="AA34:AD34" si="67">AA50</f>
        <v>0</v>
      </c>
      <c r="AB34" s="16">
        <f t="shared" si="67"/>
        <v>0</v>
      </c>
      <c r="AC34" s="16">
        <f t="shared" si="67"/>
        <v>0</v>
      </c>
      <c r="AD34" s="16">
        <f t="shared" si="67"/>
        <v>0</v>
      </c>
      <c r="AH34" s="59" t="str">
        <f t="shared" si="45"/>
        <v>Mix and Bake Madiga</v>
      </c>
      <c r="AI34" s="1">
        <f t="shared" si="31"/>
        <v>0</v>
      </c>
      <c r="AJ34" s="1">
        <f t="shared" si="32"/>
        <v>0</v>
      </c>
      <c r="AK34" s="1">
        <f t="shared" si="26"/>
        <v>0</v>
      </c>
      <c r="AL34" s="1">
        <f t="shared" si="33"/>
        <v>500</v>
      </c>
      <c r="AM34" s="1">
        <f t="shared" si="34"/>
        <v>0</v>
      </c>
      <c r="AN34" s="1">
        <f t="shared" si="35"/>
        <v>500</v>
      </c>
      <c r="AP34" s="7">
        <f t="shared" si="36"/>
        <v>0</v>
      </c>
      <c r="AQ34" s="7">
        <f t="shared" si="36"/>
        <v>0</v>
      </c>
      <c r="AR34" s="7">
        <f t="shared" si="36"/>
        <v>0</v>
      </c>
      <c r="AS34" s="7">
        <f t="shared" si="36"/>
        <v>641.02564102564099</v>
      </c>
      <c r="AT34" s="7">
        <f t="shared" si="36"/>
        <v>0</v>
      </c>
      <c r="AU34" s="7">
        <f t="shared" si="37"/>
        <v>641.02564102564099</v>
      </c>
      <c r="AW34" s="46">
        <v>0.25</v>
      </c>
      <c r="AX34" s="46">
        <v>0.25</v>
      </c>
      <c r="AY34" s="46">
        <v>0.25</v>
      </c>
      <c r="AZ34" s="46">
        <v>0.25</v>
      </c>
      <c r="BA34" s="46">
        <v>0.25</v>
      </c>
      <c r="BC34" s="7">
        <f t="shared" si="38"/>
        <v>0</v>
      </c>
      <c r="BD34" s="7">
        <f t="shared" si="38"/>
        <v>0</v>
      </c>
      <c r="BE34" s="7">
        <f t="shared" si="38"/>
        <v>0</v>
      </c>
      <c r="BF34" s="7">
        <f t="shared" si="38"/>
        <v>160.25641025641025</v>
      </c>
      <c r="BG34" s="7">
        <f t="shared" si="38"/>
        <v>0</v>
      </c>
      <c r="BI34" s="46">
        <v>0.75</v>
      </c>
      <c r="BJ34" s="46">
        <v>0.75</v>
      </c>
      <c r="BK34" s="46">
        <v>0.75</v>
      </c>
      <c r="BL34" s="46">
        <v>0.75</v>
      </c>
      <c r="BM34" s="46">
        <v>0.75</v>
      </c>
      <c r="BO34" s="7">
        <f t="shared" si="46"/>
        <v>0</v>
      </c>
      <c r="BP34" s="7">
        <f t="shared" si="39"/>
        <v>0</v>
      </c>
      <c r="BQ34" s="7">
        <f t="shared" si="39"/>
        <v>0</v>
      </c>
      <c r="BR34" s="7">
        <f t="shared" si="39"/>
        <v>480.76923076923072</v>
      </c>
      <c r="BS34" s="7">
        <f t="shared" si="39"/>
        <v>0</v>
      </c>
      <c r="BU34" s="46">
        <v>0</v>
      </c>
      <c r="BV34" s="46">
        <v>0</v>
      </c>
      <c r="BW34" s="46">
        <v>0</v>
      </c>
      <c r="BX34" s="46">
        <v>0</v>
      </c>
      <c r="BY34" s="46">
        <v>0</v>
      </c>
      <c r="CA34" s="7">
        <f t="shared" si="47"/>
        <v>0</v>
      </c>
      <c r="CB34" s="7">
        <f t="shared" si="40"/>
        <v>0</v>
      </c>
      <c r="CC34" s="7">
        <f t="shared" si="40"/>
        <v>0</v>
      </c>
      <c r="CD34" s="7">
        <f t="shared" si="40"/>
        <v>0</v>
      </c>
      <c r="CE34" s="7">
        <f t="shared" si="40"/>
        <v>0</v>
      </c>
    </row>
    <row r="35" spans="1:83" x14ac:dyDescent="0.25">
      <c r="B35" s="16" t="s">
        <v>91</v>
      </c>
      <c r="C35" s="16">
        <f>C48+C66+C75+C76</f>
        <v>11780.93</v>
      </c>
      <c r="D35" s="16">
        <f>D48+D66+D75+D76</f>
        <v>11780.93</v>
      </c>
      <c r="F35" s="16">
        <f t="shared" ref="F35:K35" si="68">F48+F66+F75+F76</f>
        <v>0</v>
      </c>
      <c r="G35" s="16">
        <f t="shared" si="68"/>
        <v>0</v>
      </c>
      <c r="H35" s="16">
        <f t="shared" si="68"/>
        <v>0</v>
      </c>
      <c r="I35" s="16">
        <f t="shared" si="68"/>
        <v>0</v>
      </c>
      <c r="J35" s="16">
        <f t="shared" si="68"/>
        <v>0</v>
      </c>
      <c r="K35" s="16">
        <f t="shared" si="68"/>
        <v>0</v>
      </c>
      <c r="M35" s="16">
        <f t="shared" ref="M35:P35" si="69">M48+M66+M75+M76</f>
        <v>0</v>
      </c>
      <c r="N35" s="16">
        <f t="shared" si="69"/>
        <v>0</v>
      </c>
      <c r="O35" s="16">
        <f t="shared" si="69"/>
        <v>0</v>
      </c>
      <c r="P35" s="16">
        <f t="shared" si="69"/>
        <v>0</v>
      </c>
      <c r="S35" s="16"/>
      <c r="T35" s="16">
        <f>T48+T66+T75+T76</f>
        <v>5537.0370999999986</v>
      </c>
      <c r="V35" s="16">
        <f t="shared" ref="V35:Y35" si="70">V48+V66+V75+V76</f>
        <v>0</v>
      </c>
      <c r="W35" s="16">
        <f t="shared" si="70"/>
        <v>0</v>
      </c>
      <c r="X35" s="16">
        <f t="shared" si="70"/>
        <v>0</v>
      </c>
      <c r="Y35" s="16">
        <f t="shared" si="70"/>
        <v>0</v>
      </c>
      <c r="AA35" s="16">
        <f t="shared" ref="AA35:AD35" si="71">AA48+AA66+AA75+AA76</f>
        <v>0</v>
      </c>
      <c r="AB35" s="16">
        <f t="shared" si="71"/>
        <v>0</v>
      </c>
      <c r="AC35" s="16">
        <f t="shared" si="71"/>
        <v>0</v>
      </c>
      <c r="AD35" s="16">
        <f t="shared" si="71"/>
        <v>6243.8929000000007</v>
      </c>
      <c r="AH35" s="59" t="str">
        <f t="shared" si="45"/>
        <v>Spaghetti</v>
      </c>
      <c r="AI35" s="1">
        <f t="shared" si="31"/>
        <v>0</v>
      </c>
      <c r="AJ35" s="1">
        <f t="shared" si="32"/>
        <v>0</v>
      </c>
      <c r="AK35" s="1">
        <f t="shared" si="26"/>
        <v>5537.0370999999986</v>
      </c>
      <c r="AL35" s="1">
        <f t="shared" si="33"/>
        <v>0</v>
      </c>
      <c r="AM35" s="1">
        <f t="shared" si="34"/>
        <v>6243.8929000000007</v>
      </c>
      <c r="AN35" s="1">
        <f t="shared" si="35"/>
        <v>11780.93</v>
      </c>
      <c r="AP35" s="7">
        <f t="shared" si="36"/>
        <v>0</v>
      </c>
      <c r="AQ35" s="7">
        <f t="shared" si="36"/>
        <v>0</v>
      </c>
      <c r="AR35" s="7">
        <f t="shared" si="36"/>
        <v>7098.7655128205106</v>
      </c>
      <c r="AS35" s="7">
        <f t="shared" si="36"/>
        <v>0</v>
      </c>
      <c r="AT35" s="7">
        <f t="shared" si="36"/>
        <v>8004.9908974358978</v>
      </c>
      <c r="AU35" s="7">
        <f t="shared" si="37"/>
        <v>15103.756410256408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C35" s="7">
        <f t="shared" si="38"/>
        <v>0</v>
      </c>
      <c r="BD35" s="7">
        <f t="shared" si="38"/>
        <v>0</v>
      </c>
      <c r="BE35" s="7">
        <f t="shared" si="38"/>
        <v>0</v>
      </c>
      <c r="BF35" s="7">
        <f t="shared" si="38"/>
        <v>0</v>
      </c>
      <c r="BG35" s="7">
        <f t="shared" si="38"/>
        <v>0</v>
      </c>
      <c r="BI35" s="46">
        <v>1</v>
      </c>
      <c r="BJ35" s="46">
        <v>1</v>
      </c>
      <c r="BK35" s="46">
        <v>1</v>
      </c>
      <c r="BL35" s="46">
        <v>1</v>
      </c>
      <c r="BM35" s="46">
        <v>1</v>
      </c>
      <c r="BO35" s="7">
        <f t="shared" si="46"/>
        <v>0</v>
      </c>
      <c r="BP35" s="7">
        <f t="shared" si="39"/>
        <v>0</v>
      </c>
      <c r="BQ35" s="7">
        <f t="shared" si="39"/>
        <v>7098.7655128205106</v>
      </c>
      <c r="BR35" s="7">
        <f t="shared" si="39"/>
        <v>0</v>
      </c>
      <c r="BS35" s="7">
        <f t="shared" si="39"/>
        <v>8004.9908974358978</v>
      </c>
      <c r="BU35" s="46">
        <v>0</v>
      </c>
      <c r="BV35" s="46">
        <v>0</v>
      </c>
      <c r="BW35" s="46">
        <v>0</v>
      </c>
      <c r="BX35" s="46">
        <v>0</v>
      </c>
      <c r="BY35" s="46">
        <v>0</v>
      </c>
      <c r="CA35" s="7">
        <f t="shared" si="47"/>
        <v>0</v>
      </c>
      <c r="CB35" s="7">
        <f t="shared" si="40"/>
        <v>0</v>
      </c>
      <c r="CC35" s="7">
        <f t="shared" si="40"/>
        <v>0</v>
      </c>
      <c r="CD35" s="7">
        <f t="shared" si="40"/>
        <v>0</v>
      </c>
      <c r="CE35" s="7">
        <f t="shared" si="40"/>
        <v>0</v>
      </c>
    </row>
    <row r="36" spans="1:83" x14ac:dyDescent="0.25">
      <c r="B36" s="16" t="s">
        <v>92</v>
      </c>
      <c r="C36" s="16">
        <f>C49+C51+C52+C83+C88+C84+C85+C86+C87</f>
        <v>1880</v>
      </c>
      <c r="D36" s="16">
        <f>D49+D51+D52+D83+D88+D84+D85+D86+D87</f>
        <v>1880</v>
      </c>
      <c r="F36" s="16">
        <f t="shared" ref="F36:K36" si="72">F49+F51+F52+F83+F88</f>
        <v>0</v>
      </c>
      <c r="G36" s="16">
        <f t="shared" si="72"/>
        <v>0</v>
      </c>
      <c r="H36" s="16">
        <f t="shared" si="72"/>
        <v>0</v>
      </c>
      <c r="I36" s="16">
        <f t="shared" si="72"/>
        <v>0</v>
      </c>
      <c r="J36" s="16">
        <f t="shared" si="72"/>
        <v>0</v>
      </c>
      <c r="K36" s="16">
        <f t="shared" si="72"/>
        <v>0</v>
      </c>
      <c r="M36" s="16">
        <f t="shared" ref="M36:P36" si="73">M49+M51+M52+M83+M88</f>
        <v>0</v>
      </c>
      <c r="N36" s="16">
        <f t="shared" si="73"/>
        <v>0</v>
      </c>
      <c r="O36" s="16">
        <f t="shared" si="73"/>
        <v>0</v>
      </c>
      <c r="P36" s="16">
        <f t="shared" si="73"/>
        <v>0</v>
      </c>
      <c r="S36" s="16"/>
      <c r="T36" s="16">
        <f>T49+T51+T52+T83+T88+T84+T85+T86+T87</f>
        <v>537</v>
      </c>
      <c r="V36" s="16">
        <f t="shared" ref="V36:Y36" si="74">V49+V51+V52+V83+V88</f>
        <v>0</v>
      </c>
      <c r="W36" s="16">
        <f t="shared" si="74"/>
        <v>0</v>
      </c>
      <c r="X36" s="16">
        <f t="shared" si="74"/>
        <v>0</v>
      </c>
      <c r="Y36" s="16">
        <f t="shared" si="74"/>
        <v>0</v>
      </c>
      <c r="AA36" s="16">
        <f t="shared" ref="AA36:AC36" si="75">AA49+AA51+AA52+AA83+AA88+AA84+AA85+AA86+AA87</f>
        <v>0</v>
      </c>
      <c r="AB36" s="16">
        <f t="shared" si="75"/>
        <v>0</v>
      </c>
      <c r="AC36" s="16">
        <f t="shared" si="75"/>
        <v>0</v>
      </c>
      <c r="AD36" s="16">
        <f>AD49+AD51+AD52+AD83+AD88+AD84+AD85+AD86+AD87</f>
        <v>1343</v>
      </c>
      <c r="AH36" s="59" t="str">
        <f t="shared" si="45"/>
        <v>Macroni</v>
      </c>
      <c r="AI36" s="1">
        <f t="shared" si="31"/>
        <v>0</v>
      </c>
      <c r="AJ36" s="1">
        <f t="shared" si="32"/>
        <v>0</v>
      </c>
      <c r="AK36" s="1">
        <f t="shared" si="26"/>
        <v>537</v>
      </c>
      <c r="AL36" s="1">
        <f t="shared" si="33"/>
        <v>0</v>
      </c>
      <c r="AM36" s="1">
        <f t="shared" si="34"/>
        <v>1343</v>
      </c>
      <c r="AN36" s="1">
        <f t="shared" si="35"/>
        <v>1880</v>
      </c>
      <c r="AP36" s="7">
        <f t="shared" si="36"/>
        <v>0</v>
      </c>
      <c r="AQ36" s="7">
        <f t="shared" si="36"/>
        <v>0</v>
      </c>
      <c r="AR36" s="7">
        <f t="shared" si="36"/>
        <v>688.46153846153845</v>
      </c>
      <c r="AS36" s="7">
        <f t="shared" si="36"/>
        <v>0</v>
      </c>
      <c r="AT36" s="7">
        <f t="shared" si="36"/>
        <v>1721.7948717948718</v>
      </c>
      <c r="AU36" s="7">
        <f t="shared" si="37"/>
        <v>2410.2564102564102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C36" s="7">
        <f t="shared" si="38"/>
        <v>0</v>
      </c>
      <c r="BD36" s="7">
        <f t="shared" si="38"/>
        <v>0</v>
      </c>
      <c r="BE36" s="7">
        <f t="shared" si="38"/>
        <v>0</v>
      </c>
      <c r="BF36" s="7">
        <f t="shared" si="38"/>
        <v>0</v>
      </c>
      <c r="BG36" s="7">
        <f t="shared" si="38"/>
        <v>0</v>
      </c>
      <c r="BI36" s="46">
        <v>1</v>
      </c>
      <c r="BJ36" s="46">
        <v>1</v>
      </c>
      <c r="BK36" s="46">
        <v>1</v>
      </c>
      <c r="BL36" s="46">
        <v>1</v>
      </c>
      <c r="BM36" s="46">
        <v>1</v>
      </c>
      <c r="BO36" s="7">
        <f t="shared" si="46"/>
        <v>0</v>
      </c>
      <c r="BP36" s="7">
        <f t="shared" si="39"/>
        <v>0</v>
      </c>
      <c r="BQ36" s="7">
        <f t="shared" si="39"/>
        <v>688.46153846153845</v>
      </c>
      <c r="BR36" s="7">
        <f t="shared" si="39"/>
        <v>0</v>
      </c>
      <c r="BS36" s="7">
        <f t="shared" si="39"/>
        <v>1721.7948717948718</v>
      </c>
      <c r="BU36" s="46">
        <v>0</v>
      </c>
      <c r="BV36" s="46">
        <v>0</v>
      </c>
      <c r="BW36" s="46">
        <v>0</v>
      </c>
      <c r="BX36" s="46">
        <v>0</v>
      </c>
      <c r="BY36" s="46">
        <v>0</v>
      </c>
      <c r="CA36" s="7">
        <f t="shared" si="47"/>
        <v>0</v>
      </c>
      <c r="CB36" s="7">
        <f t="shared" si="40"/>
        <v>0</v>
      </c>
      <c r="CC36" s="7">
        <f t="shared" si="40"/>
        <v>0</v>
      </c>
      <c r="CD36" s="7">
        <f t="shared" si="40"/>
        <v>0</v>
      </c>
      <c r="CE36" s="7">
        <f t="shared" si="40"/>
        <v>0</v>
      </c>
    </row>
    <row r="37" spans="1:83" x14ac:dyDescent="0.25">
      <c r="B37" s="16" t="s">
        <v>93</v>
      </c>
      <c r="C37" s="16">
        <f>C71+C72+C73+C74</f>
        <v>2500</v>
      </c>
      <c r="D37" s="16">
        <f>D71+D72+D73+D74</f>
        <v>2500</v>
      </c>
      <c r="F37" s="16">
        <f t="shared" ref="F37:K37" si="76">F71+F72+F73+F74</f>
        <v>0</v>
      </c>
      <c r="G37" s="16">
        <f t="shared" si="76"/>
        <v>0</v>
      </c>
      <c r="H37" s="16">
        <f t="shared" si="76"/>
        <v>0</v>
      </c>
      <c r="I37" s="16">
        <f t="shared" si="76"/>
        <v>0</v>
      </c>
      <c r="J37" s="16">
        <f t="shared" si="76"/>
        <v>0</v>
      </c>
      <c r="K37" s="16">
        <f t="shared" si="76"/>
        <v>665.07624999999996</v>
      </c>
      <c r="M37" s="16">
        <f t="shared" ref="M37:P37" si="77">M71+M72+M73+M74</f>
        <v>0</v>
      </c>
      <c r="N37" s="16">
        <f t="shared" si="77"/>
        <v>0</v>
      </c>
      <c r="O37" s="16">
        <f t="shared" si="77"/>
        <v>0</v>
      </c>
      <c r="P37" s="16">
        <f t="shared" si="77"/>
        <v>0</v>
      </c>
      <c r="S37" s="16"/>
      <c r="T37" s="16">
        <f>T71+T72+T73+T74</f>
        <v>0</v>
      </c>
      <c r="V37" s="16">
        <f t="shared" ref="V37:X37" si="78">V71+V72+V73+V74</f>
        <v>0</v>
      </c>
      <c r="W37" s="16">
        <f t="shared" si="78"/>
        <v>0</v>
      </c>
      <c r="X37" s="16">
        <f t="shared" si="78"/>
        <v>0</v>
      </c>
      <c r="Y37" s="16">
        <f>Y71+Y72+Y73+Y74</f>
        <v>925.32375000000002</v>
      </c>
      <c r="AA37" s="16">
        <f t="shared" ref="AA37:AD37" si="79">AA71+AA72+AA73+AA74</f>
        <v>0</v>
      </c>
      <c r="AB37" s="16">
        <f t="shared" si="79"/>
        <v>0</v>
      </c>
      <c r="AC37" s="16">
        <f t="shared" si="79"/>
        <v>0</v>
      </c>
      <c r="AD37" s="16">
        <f t="shared" si="79"/>
        <v>909.6</v>
      </c>
      <c r="AH37" s="59" t="str">
        <f t="shared" si="45"/>
        <v>Supreme Semolina</v>
      </c>
      <c r="AI37" s="1">
        <f t="shared" si="31"/>
        <v>665.07624999999996</v>
      </c>
      <c r="AJ37" s="1">
        <f t="shared" si="32"/>
        <v>0</v>
      </c>
      <c r="AK37" s="1">
        <f t="shared" si="26"/>
        <v>0</v>
      </c>
      <c r="AL37" s="1">
        <f t="shared" si="33"/>
        <v>925.32375000000002</v>
      </c>
      <c r="AM37" s="1">
        <f t="shared" si="34"/>
        <v>909.6</v>
      </c>
      <c r="AN37" s="1">
        <f t="shared" si="35"/>
        <v>2500</v>
      </c>
      <c r="AP37" s="7">
        <f t="shared" si="36"/>
        <v>852.66185897435889</v>
      </c>
      <c r="AQ37" s="7">
        <f t="shared" si="36"/>
        <v>0</v>
      </c>
      <c r="AR37" s="7">
        <f t="shared" si="36"/>
        <v>0</v>
      </c>
      <c r="AS37" s="7">
        <f t="shared" si="36"/>
        <v>1186.3125</v>
      </c>
      <c r="AT37" s="7">
        <f t="shared" si="36"/>
        <v>1166.1538461538462</v>
      </c>
      <c r="AU37" s="7">
        <f t="shared" si="37"/>
        <v>3205.1282051282051</v>
      </c>
      <c r="AW37" s="46">
        <v>0.3</v>
      </c>
      <c r="AX37" s="46">
        <v>0.25</v>
      </c>
      <c r="AY37" s="46">
        <v>0.25</v>
      </c>
      <c r="AZ37" s="46">
        <v>0.25</v>
      </c>
      <c r="BA37" s="46">
        <v>0.25</v>
      </c>
      <c r="BC37" s="7">
        <f t="shared" si="38"/>
        <v>255.79855769230767</v>
      </c>
      <c r="BD37" s="7">
        <f t="shared" si="38"/>
        <v>0</v>
      </c>
      <c r="BE37" s="7">
        <f t="shared" si="38"/>
        <v>0</v>
      </c>
      <c r="BF37" s="7">
        <f t="shared" si="38"/>
        <v>296.578125</v>
      </c>
      <c r="BG37" s="7">
        <f t="shared" si="38"/>
        <v>291.53846153846155</v>
      </c>
      <c r="BI37" s="46">
        <v>0.75</v>
      </c>
      <c r="BJ37" s="46">
        <v>0.75</v>
      </c>
      <c r="BK37" s="46">
        <v>0.75</v>
      </c>
      <c r="BL37" s="46">
        <v>0.75</v>
      </c>
      <c r="BM37" s="46">
        <v>0.75</v>
      </c>
      <c r="BO37" s="7">
        <f t="shared" si="46"/>
        <v>639.49639423076917</v>
      </c>
      <c r="BP37" s="7">
        <f t="shared" si="39"/>
        <v>0</v>
      </c>
      <c r="BQ37" s="7">
        <f t="shared" si="39"/>
        <v>0</v>
      </c>
      <c r="BR37" s="7">
        <f t="shared" si="39"/>
        <v>889.734375</v>
      </c>
      <c r="BS37" s="7">
        <f t="shared" si="39"/>
        <v>874.61538461538464</v>
      </c>
      <c r="BU37" s="46">
        <v>0</v>
      </c>
      <c r="BV37" s="46">
        <v>0</v>
      </c>
      <c r="BW37" s="46">
        <v>0</v>
      </c>
      <c r="BX37" s="46">
        <v>0</v>
      </c>
      <c r="BY37" s="46">
        <v>0</v>
      </c>
      <c r="CA37" s="7">
        <f t="shared" si="47"/>
        <v>0</v>
      </c>
      <c r="CB37" s="7">
        <f t="shared" si="40"/>
        <v>0</v>
      </c>
      <c r="CC37" s="7">
        <f t="shared" si="40"/>
        <v>0</v>
      </c>
      <c r="CD37" s="7">
        <f t="shared" si="40"/>
        <v>0</v>
      </c>
      <c r="CE37" s="7">
        <f t="shared" si="40"/>
        <v>0</v>
      </c>
    </row>
    <row r="38" spans="1:83" x14ac:dyDescent="0.25">
      <c r="B38" s="16" t="s">
        <v>73</v>
      </c>
      <c r="C38" s="16">
        <f>C55+C56+C57+C58+C89+C90</f>
        <v>1200</v>
      </c>
      <c r="D38" s="16">
        <f>D55+D56+D57+D58+D89+D90</f>
        <v>1200</v>
      </c>
      <c r="F38" s="16">
        <f t="shared" ref="F38:K38" si="80">F55+F56+F57+F58+F89+F90</f>
        <v>0</v>
      </c>
      <c r="G38" s="16">
        <f t="shared" si="80"/>
        <v>0</v>
      </c>
      <c r="H38" s="16">
        <f t="shared" si="80"/>
        <v>0</v>
      </c>
      <c r="I38" s="16">
        <f t="shared" si="80"/>
        <v>0</v>
      </c>
      <c r="J38" s="16">
        <f t="shared" si="80"/>
        <v>0</v>
      </c>
      <c r="K38" s="16">
        <f t="shared" si="80"/>
        <v>1200</v>
      </c>
      <c r="M38" s="16">
        <f t="shared" ref="M38:P38" si="81">M55+M56+M57+M58+M89+M90</f>
        <v>0</v>
      </c>
      <c r="N38" s="16">
        <f t="shared" si="81"/>
        <v>0</v>
      </c>
      <c r="O38" s="16">
        <f t="shared" si="81"/>
        <v>0</v>
      </c>
      <c r="P38" s="16">
        <f t="shared" si="81"/>
        <v>0</v>
      </c>
      <c r="S38" s="16"/>
      <c r="T38" s="16">
        <f>T55+T56+T57+T58+T89+T90</f>
        <v>0</v>
      </c>
      <c r="V38" s="16">
        <f t="shared" ref="V38:Y38" si="82">V55+V56+V57+V58+V89+V90</f>
        <v>0</v>
      </c>
      <c r="W38" s="16">
        <f t="shared" si="82"/>
        <v>0</v>
      </c>
      <c r="X38" s="16">
        <f t="shared" si="82"/>
        <v>0</v>
      </c>
      <c r="Y38" s="16">
        <f t="shared" si="82"/>
        <v>0</v>
      </c>
      <c r="AA38" s="16">
        <f t="shared" ref="AA38:AD38" si="83">AA55+AA56+AA57+AA58+AA89+AA90</f>
        <v>0</v>
      </c>
      <c r="AB38" s="16">
        <f t="shared" si="83"/>
        <v>0</v>
      </c>
      <c r="AC38" s="16">
        <f t="shared" si="83"/>
        <v>0</v>
      </c>
      <c r="AD38" s="16">
        <f t="shared" si="83"/>
        <v>0</v>
      </c>
      <c r="AH38" s="59" t="str">
        <f t="shared" si="45"/>
        <v>Mama Gold Semolina</v>
      </c>
      <c r="AI38" s="1">
        <f t="shared" si="31"/>
        <v>1200</v>
      </c>
      <c r="AJ38" s="1">
        <f t="shared" si="32"/>
        <v>0</v>
      </c>
      <c r="AK38" s="1">
        <f t="shared" si="26"/>
        <v>0</v>
      </c>
      <c r="AL38" s="1">
        <f t="shared" si="33"/>
        <v>0</v>
      </c>
      <c r="AM38" s="1">
        <f t="shared" si="34"/>
        <v>0</v>
      </c>
      <c r="AN38" s="1">
        <f t="shared" si="35"/>
        <v>1200</v>
      </c>
      <c r="AP38" s="7">
        <f t="shared" si="36"/>
        <v>1538.4615384615383</v>
      </c>
      <c r="AQ38" s="7">
        <f t="shared" si="36"/>
        <v>0</v>
      </c>
      <c r="AR38" s="7">
        <f t="shared" si="36"/>
        <v>0</v>
      </c>
      <c r="AS38" s="7">
        <f t="shared" si="36"/>
        <v>0</v>
      </c>
      <c r="AT38" s="7">
        <f t="shared" si="36"/>
        <v>0</v>
      </c>
      <c r="AU38" s="7">
        <f t="shared" si="37"/>
        <v>1538.4615384615383</v>
      </c>
      <c r="AW38" s="46">
        <v>0.3</v>
      </c>
      <c r="AX38" s="46">
        <v>0.3</v>
      </c>
      <c r="AY38" s="46">
        <v>0.3</v>
      </c>
      <c r="AZ38" s="46">
        <v>0.3</v>
      </c>
      <c r="BA38" s="46">
        <v>0.3</v>
      </c>
      <c r="BC38" s="7">
        <f t="shared" si="38"/>
        <v>461.53846153846149</v>
      </c>
      <c r="BD38" s="7">
        <f t="shared" si="38"/>
        <v>0</v>
      </c>
      <c r="BE38" s="7">
        <f t="shared" si="38"/>
        <v>0</v>
      </c>
      <c r="BF38" s="7">
        <f t="shared" si="38"/>
        <v>0</v>
      </c>
      <c r="BG38" s="7">
        <f t="shared" si="38"/>
        <v>0</v>
      </c>
      <c r="BI38" s="46">
        <v>0.7</v>
      </c>
      <c r="BJ38" s="46">
        <v>0.7</v>
      </c>
      <c r="BK38" s="46">
        <v>0.7</v>
      </c>
      <c r="BL38" s="46">
        <v>0.7</v>
      </c>
      <c r="BM38" s="46">
        <v>0.7</v>
      </c>
      <c r="BO38" s="7">
        <f t="shared" si="46"/>
        <v>1076.9230769230767</v>
      </c>
      <c r="BP38" s="7">
        <f t="shared" si="39"/>
        <v>0</v>
      </c>
      <c r="BQ38" s="7">
        <f t="shared" si="39"/>
        <v>0</v>
      </c>
      <c r="BR38" s="7">
        <f t="shared" si="39"/>
        <v>0</v>
      </c>
      <c r="BS38" s="7">
        <f t="shared" si="39"/>
        <v>0</v>
      </c>
      <c r="BU38" s="46">
        <v>0</v>
      </c>
      <c r="BV38" s="46">
        <v>0</v>
      </c>
      <c r="BW38" s="46">
        <v>0</v>
      </c>
      <c r="BX38" s="46">
        <v>0</v>
      </c>
      <c r="BY38" s="46">
        <v>0</v>
      </c>
      <c r="CA38" s="7">
        <f t="shared" si="47"/>
        <v>0</v>
      </c>
      <c r="CB38" s="7">
        <f t="shared" si="40"/>
        <v>0</v>
      </c>
      <c r="CC38" s="7">
        <f t="shared" si="40"/>
        <v>0</v>
      </c>
      <c r="CD38" s="7">
        <f t="shared" si="40"/>
        <v>0</v>
      </c>
      <c r="CE38" s="7">
        <f t="shared" si="40"/>
        <v>0</v>
      </c>
    </row>
    <row r="39" spans="1:83" x14ac:dyDescent="0.25">
      <c r="B39" s="16" t="s">
        <v>94</v>
      </c>
      <c r="C39" s="16">
        <f>C77+C78+C79+C80</f>
        <v>1100</v>
      </c>
      <c r="D39" s="16">
        <f>D77+D78+D79+D80</f>
        <v>1100</v>
      </c>
      <c r="F39" s="16">
        <f t="shared" ref="F39:K39" si="84">F77+F78+F79+F80</f>
        <v>0</v>
      </c>
      <c r="G39" s="16">
        <f t="shared" si="84"/>
        <v>0</v>
      </c>
      <c r="H39" s="16">
        <f t="shared" si="84"/>
        <v>0</v>
      </c>
      <c r="I39" s="16">
        <f t="shared" si="84"/>
        <v>0</v>
      </c>
      <c r="J39" s="16">
        <f t="shared" si="84"/>
        <v>0</v>
      </c>
      <c r="K39" s="16">
        <f t="shared" si="84"/>
        <v>1100</v>
      </c>
      <c r="M39" s="16">
        <f>M77+M78+M79+M80</f>
        <v>0</v>
      </c>
      <c r="N39" s="16">
        <f>N77+N78+N79+N80</f>
        <v>0</v>
      </c>
      <c r="O39" s="16">
        <f>O77+O78+O79+O80</f>
        <v>0</v>
      </c>
      <c r="P39" s="16">
        <f>P77+P78+P79+P80</f>
        <v>0</v>
      </c>
      <c r="S39" s="16"/>
      <c r="T39" s="16">
        <f>T77+T78+T79+T80</f>
        <v>0</v>
      </c>
      <c r="V39" s="16">
        <f>V77+V78+V79+V80</f>
        <v>0</v>
      </c>
      <c r="W39" s="16">
        <f>W77+W78+W79+W80</f>
        <v>0</v>
      </c>
      <c r="X39" s="16">
        <f>X77+X78+X79+X80</f>
        <v>0</v>
      </c>
      <c r="Y39" s="16">
        <f>Y77+Y78+Y79+Y80</f>
        <v>0</v>
      </c>
      <c r="AA39" s="16">
        <f>AA77+AA78+AA79+AA80</f>
        <v>0</v>
      </c>
      <c r="AB39" s="16">
        <f>AB77+AB78+AB79+AB80</f>
        <v>0</v>
      </c>
      <c r="AC39" s="16">
        <f>AC77+AC78+AC79+AC80</f>
        <v>0</v>
      </c>
      <c r="AD39" s="16">
        <f>AD77+AD78+AD79+AD80</f>
        <v>0</v>
      </c>
      <c r="AH39" s="59" t="str">
        <f t="shared" si="45"/>
        <v>Tuwovita</v>
      </c>
      <c r="AI39" s="1">
        <f t="shared" si="31"/>
        <v>1100</v>
      </c>
      <c r="AJ39" s="1">
        <f t="shared" si="32"/>
        <v>0</v>
      </c>
      <c r="AK39" s="1">
        <f t="shared" si="26"/>
        <v>0</v>
      </c>
      <c r="AL39" s="1">
        <f t="shared" si="33"/>
        <v>0</v>
      </c>
      <c r="AM39" s="1">
        <f t="shared" si="34"/>
        <v>0</v>
      </c>
      <c r="AN39" s="1">
        <f t="shared" si="35"/>
        <v>1100</v>
      </c>
      <c r="AP39" s="7">
        <f t="shared" si="36"/>
        <v>1410.2564102564102</v>
      </c>
      <c r="AQ39" s="7">
        <f t="shared" si="36"/>
        <v>0</v>
      </c>
      <c r="AR39" s="7">
        <f t="shared" si="36"/>
        <v>0</v>
      </c>
      <c r="AS39" s="7">
        <f t="shared" si="36"/>
        <v>0</v>
      </c>
      <c r="AT39" s="7">
        <f t="shared" si="36"/>
        <v>0</v>
      </c>
      <c r="AU39" s="7">
        <f t="shared" si="37"/>
        <v>1410.2564102564102</v>
      </c>
      <c r="AW39" s="46">
        <v>0.25</v>
      </c>
      <c r="AX39" s="46">
        <v>0.25</v>
      </c>
      <c r="AY39" s="46">
        <v>0.25</v>
      </c>
      <c r="AZ39" s="46">
        <v>0.25</v>
      </c>
      <c r="BA39" s="46">
        <v>0.25</v>
      </c>
      <c r="BC39" s="7">
        <f t="shared" si="38"/>
        <v>352.56410256410254</v>
      </c>
      <c r="BD39" s="7">
        <f t="shared" si="38"/>
        <v>0</v>
      </c>
      <c r="BE39" s="7">
        <f t="shared" si="38"/>
        <v>0</v>
      </c>
      <c r="BF39" s="7">
        <f t="shared" si="38"/>
        <v>0</v>
      </c>
      <c r="BG39" s="7">
        <f t="shared" si="38"/>
        <v>0</v>
      </c>
      <c r="BI39" s="46">
        <v>0.75</v>
      </c>
      <c r="BJ39" s="46">
        <v>0.75</v>
      </c>
      <c r="BK39" s="46">
        <v>0.75</v>
      </c>
      <c r="BL39" s="46">
        <v>0.75</v>
      </c>
      <c r="BM39" s="46">
        <v>0.75</v>
      </c>
      <c r="BO39" s="7">
        <f t="shared" si="46"/>
        <v>1057.6923076923076</v>
      </c>
      <c r="BP39" s="7">
        <f t="shared" si="39"/>
        <v>0</v>
      </c>
      <c r="BQ39" s="7">
        <f t="shared" si="39"/>
        <v>0</v>
      </c>
      <c r="BR39" s="7">
        <f t="shared" si="39"/>
        <v>0</v>
      </c>
      <c r="BS39" s="7">
        <f t="shared" si="39"/>
        <v>0</v>
      </c>
      <c r="BU39" s="46">
        <v>0</v>
      </c>
      <c r="BV39" s="46">
        <v>0</v>
      </c>
      <c r="BW39" s="46">
        <v>0</v>
      </c>
      <c r="BX39" s="46">
        <v>0</v>
      </c>
      <c r="BY39" s="46">
        <v>0</v>
      </c>
      <c r="CA39" s="7">
        <f t="shared" si="47"/>
        <v>0</v>
      </c>
      <c r="CB39" s="7">
        <f t="shared" si="40"/>
        <v>0</v>
      </c>
      <c r="CC39" s="7">
        <f t="shared" si="40"/>
        <v>0</v>
      </c>
      <c r="CD39" s="7">
        <f t="shared" si="40"/>
        <v>0</v>
      </c>
      <c r="CE39" s="7">
        <f t="shared" si="40"/>
        <v>0</v>
      </c>
    </row>
    <row r="40" spans="1:83" ht="21" x14ac:dyDescent="0.35">
      <c r="A40" s="8"/>
      <c r="B40" s="33"/>
      <c r="C40" s="33">
        <f>SUM(C27:C39)</f>
        <v>100517.93</v>
      </c>
      <c r="D40" s="33">
        <f>SUM(D27:D39)</f>
        <v>100517.93</v>
      </c>
      <c r="E40" s="8"/>
      <c r="F40" s="47">
        <v>0</v>
      </c>
      <c r="G40" s="47">
        <f>SUM(G95:G110)/G17</f>
        <v>0.93284566617899967</v>
      </c>
      <c r="H40" s="47">
        <f>SUM(H95:H110)/H17</f>
        <v>1.0106260106260105</v>
      </c>
      <c r="I40" s="47">
        <f>SUM(I95:I110)/I17</f>
        <v>0.87500087500087498</v>
      </c>
      <c r="J40" s="47">
        <f>(J96+J104)/J23</f>
        <v>0.70919019684451767</v>
      </c>
      <c r="K40" s="47">
        <f>K93/K17</f>
        <v>0.91797101696430539</v>
      </c>
      <c r="L40" s="8"/>
      <c r="M40" s="47">
        <v>0</v>
      </c>
      <c r="N40" s="47">
        <f>SUM(N95:N110)/N17</f>
        <v>1.0348904215570882</v>
      </c>
      <c r="O40" s="47">
        <f>SUM(O95:O110)/O17</f>
        <v>0.977035057035057</v>
      </c>
      <c r="P40" s="48">
        <f>P93/P17</f>
        <v>1.0059627392960726</v>
      </c>
      <c r="Q40" s="8"/>
      <c r="R40" s="47">
        <f>SUM(R95:R110)/R17</f>
        <v>0.88916248745433357</v>
      </c>
      <c r="S40" s="47">
        <f t="shared" ref="S40:T40" si="85">SUM(S95:S110)/S17</f>
        <v>0.28249033378047822</v>
      </c>
      <c r="T40" s="47">
        <f t="shared" si="85"/>
        <v>0.74727948377254483</v>
      </c>
      <c r="U40" s="8"/>
      <c r="V40" s="47">
        <f>SUM(V95:V110)/V17</f>
        <v>0.97369857711962993</v>
      </c>
      <c r="W40" s="47">
        <f>SUM(W95:W110)/W17</f>
        <v>1.0046945190804841</v>
      </c>
      <c r="X40" s="47">
        <f>SUM(X95:X110)/X17</f>
        <v>1.0046945190804841</v>
      </c>
      <c r="Y40" s="47">
        <f>Y93/Y17</f>
        <v>0.9922961422961426</v>
      </c>
      <c r="Z40" s="8"/>
      <c r="AA40" s="47">
        <f>SUM(AA95:AA110)/AA17</f>
        <v>0.9806313716878936</v>
      </c>
      <c r="AB40" s="47">
        <f>SUM(AB95:AB110)/AB17</f>
        <v>0.45978626848192067</v>
      </c>
      <c r="AC40" s="47">
        <f>SUM(AC95:AC110)/AC17</f>
        <v>0.97657009855956867</v>
      </c>
      <c r="AD40" s="47">
        <f>AD93/AD17</f>
        <v>0.90509412184588278</v>
      </c>
      <c r="AE40" s="8"/>
      <c r="AF40" s="8"/>
      <c r="AG40" s="54"/>
      <c r="AH40" s="61"/>
      <c r="AI40" s="59">
        <f>SUM(AI27:AI39)</f>
        <v>26644.97625</v>
      </c>
      <c r="AJ40" s="59">
        <f t="shared" ref="AJ40:AN40" si="86">SUM(AJ27:AJ39)</f>
        <v>27435.32</v>
      </c>
      <c r="AK40" s="59">
        <f t="shared" si="86"/>
        <v>6074.0370999999986</v>
      </c>
      <c r="AL40" s="59">
        <f t="shared" si="86"/>
        <v>18363.903749999998</v>
      </c>
      <c r="AM40" s="59">
        <f t="shared" si="86"/>
        <v>21999.692900000002</v>
      </c>
      <c r="AN40" s="59">
        <f t="shared" si="86"/>
        <v>100517.93</v>
      </c>
      <c r="AO40" s="57"/>
      <c r="AP40" s="57">
        <f t="shared" si="36"/>
        <v>34160.225961538461</v>
      </c>
      <c r="AQ40" s="57">
        <f t="shared" si="36"/>
        <v>35173.48717948718</v>
      </c>
      <c r="AR40" s="57">
        <f t="shared" si="36"/>
        <v>7787.2270512820496</v>
      </c>
      <c r="AS40" s="57">
        <f t="shared" si="36"/>
        <v>23543.466346153844</v>
      </c>
      <c r="AT40" s="57">
        <f t="shared" si="36"/>
        <v>28204.734487179488</v>
      </c>
      <c r="AU40" s="57">
        <f t="shared" si="36"/>
        <v>128869.14102564102</v>
      </c>
      <c r="AV40" s="57"/>
      <c r="AW40" s="57"/>
      <c r="AX40" s="57"/>
      <c r="AY40" s="57"/>
      <c r="AZ40" s="57"/>
      <c r="BA40" s="57"/>
      <c r="BB40" s="57"/>
      <c r="BC40" s="57">
        <f>SUM(BC27:BC39)</f>
        <v>2950.4780448717947</v>
      </c>
      <c r="BD40" s="57">
        <f t="shared" ref="BD40:BG40" si="87">SUM(BD27:BD39)</f>
        <v>16313.066666666664</v>
      </c>
      <c r="BE40" s="57">
        <f t="shared" si="87"/>
        <v>0</v>
      </c>
      <c r="BF40" s="57">
        <f t="shared" si="87"/>
        <v>6815.9153044871782</v>
      </c>
      <c r="BG40" s="57">
        <f t="shared" si="87"/>
        <v>3173.4935897435894</v>
      </c>
      <c r="BH40" s="57"/>
      <c r="BI40" s="57"/>
      <c r="BJ40" s="57"/>
      <c r="BK40" s="57"/>
      <c r="BL40" s="57"/>
      <c r="BM40" s="57"/>
      <c r="BN40" s="57"/>
      <c r="BO40" s="57">
        <f>SUM(BO27:BO39)</f>
        <v>26925.457932692309</v>
      </c>
      <c r="BP40" s="57">
        <f t="shared" ref="BP40:BS40" si="88">SUM(BP27:BP39)</f>
        <v>18860.420512820514</v>
      </c>
      <c r="BQ40" s="57">
        <f t="shared" si="88"/>
        <v>7787.2270512820487</v>
      </c>
      <c r="BR40" s="57">
        <f t="shared" si="88"/>
        <v>16727.551041666666</v>
      </c>
      <c r="BS40" s="57">
        <f t="shared" si="88"/>
        <v>25031.240897435895</v>
      </c>
      <c r="BT40" s="57"/>
      <c r="BU40" s="57"/>
      <c r="BV40" s="57"/>
      <c r="BW40" s="57"/>
      <c r="BX40" s="57"/>
      <c r="BY40" s="57"/>
      <c r="BZ40" s="57"/>
      <c r="CA40" s="57">
        <f>SUM(CA27:CA39)</f>
        <v>4326.9230769230771</v>
      </c>
      <c r="CB40" s="57">
        <f t="shared" ref="CB40:CE40" si="89">SUM(CB27:CB39)</f>
        <v>0</v>
      </c>
      <c r="CC40" s="57">
        <f t="shared" si="89"/>
        <v>0</v>
      </c>
      <c r="CD40" s="57">
        <f t="shared" si="89"/>
        <v>0</v>
      </c>
      <c r="CE40" s="57">
        <f t="shared" si="89"/>
        <v>0</v>
      </c>
    </row>
    <row r="41" spans="1:83" x14ac:dyDescent="0.25">
      <c r="BC41" s="84">
        <f>SUM(BC40:BE40)</f>
        <v>19263.54471153846</v>
      </c>
      <c r="BD41" s="84"/>
      <c r="BE41" s="84"/>
      <c r="BF41" s="7">
        <f>BF40</f>
        <v>6815.9153044871782</v>
      </c>
      <c r="BG41" s="7">
        <f>BG40</f>
        <v>3173.4935897435894</v>
      </c>
      <c r="BO41" s="84">
        <f>SUM(BO40:BQ40)</f>
        <v>53573.105496794866</v>
      </c>
      <c r="BP41" s="84"/>
      <c r="BQ41" s="84"/>
      <c r="BR41" s="7">
        <f>BR40</f>
        <v>16727.551041666666</v>
      </c>
      <c r="BS41" s="7">
        <f>BS40</f>
        <v>25031.240897435895</v>
      </c>
      <c r="CA41" s="84">
        <f>SUM(CA40:CC40)</f>
        <v>4326.9230769230771</v>
      </c>
      <c r="CB41" s="84"/>
      <c r="CC41" s="84"/>
      <c r="CD41" s="7">
        <f>CD40</f>
        <v>0</v>
      </c>
      <c r="CE41" s="7">
        <f>CE40</f>
        <v>0</v>
      </c>
    </row>
    <row r="42" spans="1:83" x14ac:dyDescent="0.25">
      <c r="C42" s="16">
        <f>C40-C48-C82-C75-C76-C68</f>
        <v>98595</v>
      </c>
      <c r="BC42" s="71">
        <f>BC41/4.33</f>
        <v>4448.8555915793204</v>
      </c>
      <c r="BD42" s="71"/>
      <c r="BE42" s="71"/>
      <c r="BF42" s="7">
        <f>BF41/4.33</f>
        <v>1574.1143890270619</v>
      </c>
      <c r="BG42" s="7">
        <f>BG41/4.33</f>
        <v>732.9084502872031</v>
      </c>
      <c r="BO42" s="71">
        <f>BO41/4.33</f>
        <v>12372.541685172024</v>
      </c>
      <c r="BP42" s="71"/>
      <c r="BQ42" s="71"/>
      <c r="BR42" s="7">
        <f>BR41/4.33</f>
        <v>3863.1757602001535</v>
      </c>
      <c r="BS42" s="7">
        <f>BS41/4.33</f>
        <v>5780.8870432877357</v>
      </c>
      <c r="CA42" s="71">
        <f>CA41/4.33</f>
        <v>999.28939420856284</v>
      </c>
      <c r="CB42" s="71"/>
      <c r="CC42" s="71"/>
      <c r="CD42" s="7">
        <f>CD41/4.33</f>
        <v>0</v>
      </c>
      <c r="CE42" s="7">
        <f>CE41/4.33</f>
        <v>0</v>
      </c>
    </row>
    <row r="44" spans="1:83" x14ac:dyDescent="0.25">
      <c r="A44" s="23" t="s">
        <v>24</v>
      </c>
      <c r="B44" s="32" t="s">
        <v>25</v>
      </c>
      <c r="C44" s="35" t="s">
        <v>81</v>
      </c>
      <c r="D44" s="35" t="s">
        <v>82</v>
      </c>
    </row>
    <row r="45" spans="1:83" x14ac:dyDescent="0.25">
      <c r="A45" s="30">
        <v>100000023104</v>
      </c>
      <c r="B45" s="31" t="s">
        <v>26</v>
      </c>
      <c r="C45" s="36"/>
      <c r="D45" s="36">
        <f t="shared" ref="D45:D90" si="90">K45+P45+T45+Y45+AD45</f>
        <v>0</v>
      </c>
      <c r="K45" s="7">
        <f>SUM(F45:J45)</f>
        <v>0</v>
      </c>
      <c r="P45" s="7">
        <f>SUM(M45:O45)</f>
        <v>0</v>
      </c>
      <c r="Y45" s="7">
        <f>SUM(V45:X45)</f>
        <v>0</v>
      </c>
      <c r="AD45" s="7">
        <f>SUM(AA45:AC45)</f>
        <v>0</v>
      </c>
    </row>
    <row r="46" spans="1:83" x14ac:dyDescent="0.25">
      <c r="A46" s="24">
        <v>100000020597</v>
      </c>
      <c r="B46" s="25" t="s">
        <v>27</v>
      </c>
      <c r="C46" s="43">
        <v>120</v>
      </c>
      <c r="D46" s="36">
        <f t="shared" si="90"/>
        <v>120</v>
      </c>
      <c r="K46" s="7">
        <f>C46</f>
        <v>120</v>
      </c>
      <c r="P46" s="7">
        <f t="shared" ref="P46:P90" si="91">SUM(M46:O46)</f>
        <v>0</v>
      </c>
      <c r="Y46" s="7">
        <f t="shared" ref="Y46:Y92" si="92">SUM(V46:X46)</f>
        <v>0</v>
      </c>
      <c r="AD46" s="7">
        <f t="shared" ref="AD46:AD92" si="93">SUM(AA46:AC46)</f>
        <v>0</v>
      </c>
    </row>
    <row r="47" spans="1:83" x14ac:dyDescent="0.25">
      <c r="A47" s="24">
        <v>100000020598</v>
      </c>
      <c r="B47" s="25" t="s">
        <v>28</v>
      </c>
      <c r="C47" s="36"/>
      <c r="D47" s="36">
        <f t="shared" si="90"/>
        <v>0</v>
      </c>
      <c r="K47" s="7">
        <f t="shared" ref="K47:K88" si="94">SUM(F47:J47)</f>
        <v>0</v>
      </c>
      <c r="P47" s="7">
        <f t="shared" si="91"/>
        <v>0</v>
      </c>
      <c r="Y47" s="7">
        <f t="shared" si="92"/>
        <v>0</v>
      </c>
      <c r="AD47" s="7">
        <f t="shared" si="93"/>
        <v>0</v>
      </c>
    </row>
    <row r="48" spans="1:83" x14ac:dyDescent="0.25">
      <c r="A48" s="26">
        <v>100000019578</v>
      </c>
      <c r="B48" s="27" t="s">
        <v>29</v>
      </c>
      <c r="C48" s="43">
        <f>C66*2.5%</f>
        <v>271.45</v>
      </c>
      <c r="D48" s="36">
        <f t="shared" si="90"/>
        <v>271.45</v>
      </c>
      <c r="K48" s="7">
        <f t="shared" si="94"/>
        <v>0</v>
      </c>
      <c r="P48" s="7">
        <f t="shared" si="91"/>
        <v>0</v>
      </c>
      <c r="T48" s="43">
        <f>T66*2.5%</f>
        <v>127.58149999999999</v>
      </c>
      <c r="Y48" s="7">
        <f t="shared" si="92"/>
        <v>0</v>
      </c>
      <c r="AD48" s="43">
        <f>AD66*2.5%</f>
        <v>143.86850000000001</v>
      </c>
    </row>
    <row r="49" spans="1:30" x14ac:dyDescent="0.25">
      <c r="A49" s="26"/>
      <c r="B49" s="29" t="s">
        <v>85</v>
      </c>
      <c r="C49" s="36">
        <v>150</v>
      </c>
      <c r="D49" s="36">
        <f t="shared" si="90"/>
        <v>150</v>
      </c>
      <c r="K49" s="7">
        <f t="shared" si="94"/>
        <v>0</v>
      </c>
      <c r="T49" s="7">
        <f>C49</f>
        <v>150</v>
      </c>
    </row>
    <row r="50" spans="1:30" x14ac:dyDescent="0.25">
      <c r="A50" s="26"/>
      <c r="B50" s="51" t="s">
        <v>100</v>
      </c>
      <c r="C50" s="36">
        <v>500</v>
      </c>
      <c r="D50" s="36">
        <f t="shared" si="90"/>
        <v>500</v>
      </c>
      <c r="K50" s="7">
        <f t="shared" si="94"/>
        <v>0</v>
      </c>
      <c r="P50" s="7">
        <f t="shared" si="91"/>
        <v>0</v>
      </c>
      <c r="Y50" s="7">
        <v>500</v>
      </c>
    </row>
    <row r="51" spans="1:30" x14ac:dyDescent="0.25">
      <c r="A51" s="26">
        <v>100000017902</v>
      </c>
      <c r="B51" s="51" t="s">
        <v>97</v>
      </c>
      <c r="C51" s="43">
        <v>1343</v>
      </c>
      <c r="D51" s="36">
        <f t="shared" si="90"/>
        <v>1343</v>
      </c>
      <c r="K51" s="7">
        <f t="shared" si="94"/>
        <v>0</v>
      </c>
      <c r="P51" s="7">
        <f t="shared" si="91"/>
        <v>0</v>
      </c>
      <c r="Y51" s="7">
        <f t="shared" si="92"/>
        <v>0</v>
      </c>
      <c r="AD51" s="7">
        <f>C51</f>
        <v>1343</v>
      </c>
    </row>
    <row r="52" spans="1:30" x14ac:dyDescent="0.25">
      <c r="A52" s="26">
        <v>100000029991</v>
      </c>
      <c r="B52" s="51" t="s">
        <v>98</v>
      </c>
      <c r="C52" s="36">
        <v>150</v>
      </c>
      <c r="D52" s="36">
        <f t="shared" si="90"/>
        <v>150</v>
      </c>
      <c r="K52" s="7">
        <f t="shared" si="94"/>
        <v>0</v>
      </c>
      <c r="P52" s="7">
        <f t="shared" si="91"/>
        <v>0</v>
      </c>
      <c r="T52" s="7">
        <f>C52</f>
        <v>150</v>
      </c>
      <c r="Y52" s="7">
        <f t="shared" si="92"/>
        <v>0</v>
      </c>
    </row>
    <row r="53" spans="1:30" x14ac:dyDescent="0.25">
      <c r="A53" s="26">
        <v>100000006034</v>
      </c>
      <c r="B53" s="51" t="s">
        <v>99</v>
      </c>
      <c r="C53" s="36">
        <v>20378</v>
      </c>
      <c r="D53" s="36">
        <f t="shared" si="90"/>
        <v>20378</v>
      </c>
      <c r="K53" s="7">
        <v>0</v>
      </c>
      <c r="P53" s="7">
        <f>C53*0.94</f>
        <v>19155.32</v>
      </c>
      <c r="Y53" s="7">
        <f>C53*0.06</f>
        <v>1222.68</v>
      </c>
      <c r="AD53" s="7">
        <f t="shared" si="93"/>
        <v>0</v>
      </c>
    </row>
    <row r="54" spans="1:30" x14ac:dyDescent="0.25">
      <c r="A54" s="26">
        <v>100000029187</v>
      </c>
      <c r="B54" s="27" t="s">
        <v>31</v>
      </c>
      <c r="C54" s="45">
        <v>6250</v>
      </c>
      <c r="D54" s="36">
        <f t="shared" si="90"/>
        <v>6250</v>
      </c>
      <c r="F54" s="37"/>
      <c r="G54" s="37"/>
      <c r="H54" s="37"/>
      <c r="I54" s="37"/>
      <c r="J54" s="37"/>
      <c r="K54" s="7">
        <v>0</v>
      </c>
      <c r="P54" s="7">
        <f>C54</f>
        <v>6250</v>
      </c>
      <c r="Y54" s="7">
        <v>0</v>
      </c>
      <c r="AD54" s="7">
        <v>0</v>
      </c>
    </row>
    <row r="55" spans="1:30" x14ac:dyDescent="0.25">
      <c r="A55" s="26">
        <v>100000006028</v>
      </c>
      <c r="B55" s="27" t="s">
        <v>32</v>
      </c>
      <c r="C55" s="45">
        <v>15</v>
      </c>
      <c r="D55" s="36">
        <f t="shared" si="90"/>
        <v>15</v>
      </c>
      <c r="F55" s="37"/>
      <c r="G55" s="37"/>
      <c r="H55" s="37"/>
      <c r="I55" s="37"/>
      <c r="J55" s="37"/>
      <c r="K55" s="7">
        <f>C55</f>
        <v>15</v>
      </c>
      <c r="P55" s="7">
        <f t="shared" si="91"/>
        <v>0</v>
      </c>
      <c r="Y55" s="7">
        <f t="shared" si="92"/>
        <v>0</v>
      </c>
      <c r="AD55" s="7">
        <f t="shared" si="93"/>
        <v>0</v>
      </c>
    </row>
    <row r="56" spans="1:30" x14ac:dyDescent="0.25">
      <c r="A56" s="26">
        <v>100000006029</v>
      </c>
      <c r="B56" s="27" t="s">
        <v>33</v>
      </c>
      <c r="C56" s="45">
        <v>11</v>
      </c>
      <c r="D56" s="36">
        <f t="shared" si="90"/>
        <v>11</v>
      </c>
      <c r="F56" s="38"/>
      <c r="G56" s="38"/>
      <c r="H56" s="38"/>
      <c r="I56" s="38"/>
      <c r="J56" s="38"/>
      <c r="K56" s="7">
        <f t="shared" ref="K56:K58" si="95">C56</f>
        <v>11</v>
      </c>
      <c r="P56" s="7">
        <f t="shared" si="91"/>
        <v>0</v>
      </c>
      <c r="Y56" s="7">
        <f t="shared" si="92"/>
        <v>0</v>
      </c>
      <c r="AD56" s="7">
        <f t="shared" si="93"/>
        <v>0</v>
      </c>
    </row>
    <row r="57" spans="1:30" x14ac:dyDescent="0.25">
      <c r="A57" s="26">
        <v>100000006030</v>
      </c>
      <c r="B57" s="27" t="s">
        <v>34</v>
      </c>
      <c r="C57" s="45">
        <v>64</v>
      </c>
      <c r="D57" s="36">
        <f t="shared" si="90"/>
        <v>64</v>
      </c>
      <c r="F57" s="38"/>
      <c r="G57" s="38"/>
      <c r="H57" s="38"/>
      <c r="I57" s="38"/>
      <c r="J57" s="38"/>
      <c r="K57" s="7">
        <f t="shared" si="95"/>
        <v>64</v>
      </c>
      <c r="P57" s="7">
        <f t="shared" si="91"/>
        <v>0</v>
      </c>
      <c r="Y57" s="7">
        <f t="shared" si="92"/>
        <v>0</v>
      </c>
      <c r="AD57" s="7">
        <f t="shared" si="93"/>
        <v>0</v>
      </c>
    </row>
    <row r="58" spans="1:30" x14ac:dyDescent="0.25">
      <c r="A58" s="26">
        <v>100000006031</v>
      </c>
      <c r="B58" s="27" t="s">
        <v>35</v>
      </c>
      <c r="C58" s="45">
        <v>204</v>
      </c>
      <c r="D58" s="36">
        <f t="shared" si="90"/>
        <v>204</v>
      </c>
      <c r="F58" s="38"/>
      <c r="G58" s="38"/>
      <c r="H58" s="38"/>
      <c r="I58" s="38"/>
      <c r="J58" s="38"/>
      <c r="K58" s="7">
        <f t="shared" si="95"/>
        <v>204</v>
      </c>
      <c r="P58" s="7">
        <f t="shared" si="91"/>
        <v>0</v>
      </c>
      <c r="Y58" s="7">
        <f t="shared" si="92"/>
        <v>0</v>
      </c>
      <c r="AD58" s="7">
        <f t="shared" si="93"/>
        <v>0</v>
      </c>
    </row>
    <row r="59" spans="1:30" x14ac:dyDescent="0.25">
      <c r="A59" s="26">
        <v>100000011888</v>
      </c>
      <c r="B59" s="27" t="s">
        <v>36</v>
      </c>
      <c r="C59" s="43"/>
      <c r="D59" s="36">
        <f t="shared" si="90"/>
        <v>0</v>
      </c>
      <c r="F59" s="38"/>
      <c r="G59" s="38"/>
      <c r="H59" s="38"/>
      <c r="I59" s="38"/>
      <c r="J59" s="38"/>
      <c r="K59" s="7">
        <f t="shared" si="94"/>
        <v>0</v>
      </c>
      <c r="P59" s="7">
        <f t="shared" si="91"/>
        <v>0</v>
      </c>
      <c r="Y59" s="7">
        <f t="shared" si="92"/>
        <v>0</v>
      </c>
      <c r="AD59" s="7">
        <f t="shared" si="93"/>
        <v>0</v>
      </c>
    </row>
    <row r="60" spans="1:30" x14ac:dyDescent="0.25">
      <c r="A60" s="26">
        <v>100000011889</v>
      </c>
      <c r="B60" s="27" t="s">
        <v>37</v>
      </c>
      <c r="C60" s="43"/>
      <c r="D60" s="36">
        <f t="shared" si="90"/>
        <v>0</v>
      </c>
      <c r="F60" s="38"/>
      <c r="G60" s="38"/>
      <c r="H60" s="38"/>
      <c r="I60" s="38"/>
      <c r="J60" s="38"/>
      <c r="K60" s="7">
        <f t="shared" si="94"/>
        <v>0</v>
      </c>
      <c r="P60" s="7">
        <f t="shared" si="91"/>
        <v>0</v>
      </c>
      <c r="Y60" s="7">
        <f t="shared" si="92"/>
        <v>0</v>
      </c>
      <c r="AD60" s="7">
        <f t="shared" si="93"/>
        <v>0</v>
      </c>
    </row>
    <row r="61" spans="1:30" x14ac:dyDescent="0.25">
      <c r="A61" s="26">
        <v>100000012011</v>
      </c>
      <c r="B61" s="27" t="s">
        <v>38</v>
      </c>
      <c r="C61" s="43"/>
      <c r="D61" s="36">
        <f t="shared" si="90"/>
        <v>0</v>
      </c>
      <c r="F61" s="38"/>
      <c r="G61" s="38"/>
      <c r="H61" s="38"/>
      <c r="I61" s="38"/>
      <c r="J61" s="38"/>
      <c r="K61" s="7">
        <f t="shared" si="94"/>
        <v>0</v>
      </c>
      <c r="P61" s="7">
        <f t="shared" si="91"/>
        <v>0</v>
      </c>
      <c r="Y61" s="7">
        <f t="shared" si="92"/>
        <v>0</v>
      </c>
      <c r="AD61" s="7">
        <f t="shared" si="93"/>
        <v>0</v>
      </c>
    </row>
    <row r="62" spans="1:30" x14ac:dyDescent="0.25">
      <c r="A62" s="26">
        <v>100000012012</v>
      </c>
      <c r="B62" s="27" t="s">
        <v>39</v>
      </c>
      <c r="C62" s="43"/>
      <c r="D62" s="36">
        <f t="shared" si="90"/>
        <v>0</v>
      </c>
      <c r="F62" s="38"/>
      <c r="G62" s="38"/>
      <c r="H62" s="38"/>
      <c r="I62" s="38"/>
      <c r="J62" s="38"/>
      <c r="K62" s="7">
        <f t="shared" si="94"/>
        <v>0</v>
      </c>
      <c r="P62" s="7">
        <f t="shared" si="91"/>
        <v>0</v>
      </c>
      <c r="Y62" s="7">
        <f t="shared" si="92"/>
        <v>0</v>
      </c>
      <c r="AD62" s="7">
        <f t="shared" si="93"/>
        <v>0</v>
      </c>
    </row>
    <row r="63" spans="1:30" x14ac:dyDescent="0.25">
      <c r="A63" s="26">
        <v>100000005259</v>
      </c>
      <c r="B63" s="27" t="s">
        <v>40</v>
      </c>
      <c r="C63" s="45">
        <v>7000</v>
      </c>
      <c r="D63" s="36">
        <f t="shared" si="90"/>
        <v>7000</v>
      </c>
      <c r="F63" s="38"/>
      <c r="G63" s="38"/>
      <c r="H63" s="38"/>
      <c r="I63" s="38"/>
      <c r="J63" s="38"/>
      <c r="K63" s="7">
        <f t="shared" si="94"/>
        <v>0</v>
      </c>
      <c r="P63" s="7">
        <f t="shared" si="91"/>
        <v>0</v>
      </c>
      <c r="Y63" s="7">
        <f>C63*0.85</f>
        <v>5950</v>
      </c>
      <c r="AD63" s="7">
        <f>C63*0.15</f>
        <v>1050</v>
      </c>
    </row>
    <row r="64" spans="1:30" x14ac:dyDescent="0.25">
      <c r="A64" s="26">
        <v>100000002986</v>
      </c>
      <c r="B64" s="27" t="s">
        <v>41</v>
      </c>
      <c r="C64" s="45">
        <v>21702</v>
      </c>
      <c r="D64" s="36">
        <f t="shared" si="90"/>
        <v>21702</v>
      </c>
      <c r="K64" s="7">
        <f>C64*0.2</f>
        <v>4340.4000000000005</v>
      </c>
      <c r="P64" s="7">
        <v>0</v>
      </c>
      <c r="Y64" s="7">
        <f>C64*0.45</f>
        <v>9765.9</v>
      </c>
      <c r="AD64" s="7">
        <f>C64*0.35</f>
        <v>7595.7</v>
      </c>
    </row>
    <row r="65" spans="1:32" x14ac:dyDescent="0.25">
      <c r="A65" s="26">
        <v>100000017891</v>
      </c>
      <c r="B65" s="51" t="s">
        <v>101</v>
      </c>
      <c r="C65" s="45">
        <v>18750</v>
      </c>
      <c r="D65" s="36">
        <f t="shared" si="90"/>
        <v>18750</v>
      </c>
      <c r="K65" s="7">
        <f>C65*0.75</f>
        <v>14062.5</v>
      </c>
      <c r="Y65" s="7">
        <v>0</v>
      </c>
      <c r="AD65" s="7">
        <f>C65*0.25</f>
        <v>4687.5</v>
      </c>
    </row>
    <row r="66" spans="1:32" x14ac:dyDescent="0.25">
      <c r="A66" s="26">
        <v>100000018687</v>
      </c>
      <c r="B66" s="51" t="s">
        <v>102</v>
      </c>
      <c r="C66" s="43">
        <v>10858</v>
      </c>
      <c r="D66" s="36">
        <f t="shared" si="90"/>
        <v>10858</v>
      </c>
      <c r="K66" s="7">
        <f t="shared" si="94"/>
        <v>0</v>
      </c>
      <c r="P66" s="7">
        <f t="shared" si="91"/>
        <v>0</v>
      </c>
      <c r="T66" s="7">
        <f>C66*0.47</f>
        <v>5103.2599999999993</v>
      </c>
      <c r="Y66" s="7">
        <f t="shared" si="92"/>
        <v>0</v>
      </c>
      <c r="AD66" s="7">
        <f>C66*0.53</f>
        <v>5754.7400000000007</v>
      </c>
      <c r="AF66" s="7">
        <f>AD66*4.6%</f>
        <v>264.71804000000003</v>
      </c>
    </row>
    <row r="67" spans="1:32" x14ac:dyDescent="0.25">
      <c r="A67" s="26">
        <v>100000006037</v>
      </c>
      <c r="B67" s="27" t="s">
        <v>43</v>
      </c>
      <c r="C67" s="43">
        <f>3750-C46</f>
        <v>3630</v>
      </c>
      <c r="D67" s="36">
        <f t="shared" si="90"/>
        <v>3630</v>
      </c>
      <c r="K67" s="7">
        <f>C67</f>
        <v>3630</v>
      </c>
      <c r="P67" s="7">
        <f t="shared" si="91"/>
        <v>0</v>
      </c>
      <c r="Y67" s="7">
        <f t="shared" si="92"/>
        <v>0</v>
      </c>
      <c r="AD67" s="7">
        <f t="shared" si="93"/>
        <v>0</v>
      </c>
    </row>
    <row r="68" spans="1:32" x14ac:dyDescent="0.25">
      <c r="A68" s="26">
        <v>100000002985</v>
      </c>
      <c r="B68" s="25" t="s">
        <v>131</v>
      </c>
      <c r="C68" s="43">
        <v>300</v>
      </c>
      <c r="D68" s="36">
        <f t="shared" si="90"/>
        <v>300</v>
      </c>
      <c r="K68" s="7">
        <f t="shared" ref="K68:K69" si="96">C68</f>
        <v>300</v>
      </c>
      <c r="P68" s="7">
        <f t="shared" si="91"/>
        <v>0</v>
      </c>
      <c r="Y68" s="7">
        <f t="shared" si="92"/>
        <v>0</v>
      </c>
      <c r="AD68" s="7">
        <f t="shared" si="93"/>
        <v>0</v>
      </c>
    </row>
    <row r="69" spans="1:32" x14ac:dyDescent="0.25">
      <c r="A69" s="26">
        <v>100000002988</v>
      </c>
      <c r="B69" s="25" t="s">
        <v>132</v>
      </c>
      <c r="C69" s="43">
        <v>527</v>
      </c>
      <c r="D69" s="36">
        <f t="shared" si="90"/>
        <v>527</v>
      </c>
      <c r="K69" s="7">
        <f t="shared" si="96"/>
        <v>527</v>
      </c>
      <c r="P69" s="7">
        <f t="shared" si="91"/>
        <v>0</v>
      </c>
      <c r="Y69" s="7">
        <f t="shared" si="92"/>
        <v>0</v>
      </c>
      <c r="AD69" s="7">
        <f t="shared" si="93"/>
        <v>0</v>
      </c>
    </row>
    <row r="70" spans="1:32" x14ac:dyDescent="0.25">
      <c r="A70" s="26">
        <v>100000002974</v>
      </c>
      <c r="B70" s="27" t="s">
        <v>47</v>
      </c>
      <c r="C70" s="45">
        <v>1700</v>
      </c>
      <c r="D70" s="36">
        <f t="shared" si="90"/>
        <v>1700</v>
      </c>
      <c r="K70" s="7">
        <f t="shared" si="94"/>
        <v>0</v>
      </c>
      <c r="P70" s="7">
        <f>C70*0.9</f>
        <v>1530</v>
      </c>
      <c r="Y70" s="7">
        <f t="shared" si="92"/>
        <v>0</v>
      </c>
      <c r="AD70" s="7">
        <f>C70*0.1</f>
        <v>170</v>
      </c>
    </row>
    <row r="71" spans="1:32" x14ac:dyDescent="0.25">
      <c r="A71" s="26">
        <v>100000002976</v>
      </c>
      <c r="B71" s="27" t="s">
        <v>48</v>
      </c>
      <c r="C71" s="45">
        <v>1939</v>
      </c>
      <c r="D71" s="36">
        <f t="shared" si="90"/>
        <v>1939</v>
      </c>
      <c r="K71" s="7">
        <f>C71-Y71-AD71</f>
        <v>478.66042499999992</v>
      </c>
      <c r="P71" s="7">
        <f t="shared" ref="P71:P74" si="97">SUM(M71:O71)</f>
        <v>0</v>
      </c>
      <c r="Y71" s="7">
        <f>0.05*Y17*0.74</f>
        <v>684.73957500000006</v>
      </c>
      <c r="AD71" s="7">
        <f>C71*0.4</f>
        <v>775.6</v>
      </c>
    </row>
    <row r="72" spans="1:32" x14ac:dyDescent="0.25">
      <c r="A72" s="26">
        <v>100000002977</v>
      </c>
      <c r="B72" s="27" t="s">
        <v>49</v>
      </c>
      <c r="C72" s="45">
        <v>335</v>
      </c>
      <c r="D72" s="36">
        <f t="shared" si="90"/>
        <v>335</v>
      </c>
      <c r="K72" s="7">
        <f t="shared" ref="K72:K74" si="98">C72-Y72-AD72</f>
        <v>80.707912499999992</v>
      </c>
      <c r="P72" s="7">
        <f t="shared" si="97"/>
        <v>0</v>
      </c>
      <c r="Y72" s="7">
        <f>0.05*Y17*0.13</f>
        <v>120.29208750000001</v>
      </c>
      <c r="AD72" s="7">
        <f>C72*0.4</f>
        <v>134</v>
      </c>
    </row>
    <row r="73" spans="1:32" x14ac:dyDescent="0.25">
      <c r="A73" s="26">
        <v>100000002978</v>
      </c>
      <c r="B73" s="27" t="s">
        <v>50</v>
      </c>
      <c r="C73" s="45">
        <v>119</v>
      </c>
      <c r="D73" s="36">
        <f t="shared" si="90"/>
        <v>119</v>
      </c>
      <c r="K73" s="7">
        <f t="shared" si="98"/>
        <v>44.974099999999993</v>
      </c>
      <c r="P73" s="7">
        <f t="shared" si="97"/>
        <v>0</v>
      </c>
      <c r="Y73" s="7">
        <f>0.05*Y17*0.08</f>
        <v>74.025900000000007</v>
      </c>
    </row>
    <row r="74" spans="1:32" x14ac:dyDescent="0.25">
      <c r="A74" s="26">
        <v>100000015941</v>
      </c>
      <c r="B74" s="27" t="s">
        <v>51</v>
      </c>
      <c r="C74" s="45">
        <v>107</v>
      </c>
      <c r="D74" s="36">
        <f t="shared" si="90"/>
        <v>107</v>
      </c>
      <c r="K74" s="7">
        <f t="shared" si="98"/>
        <v>60.733812499999999</v>
      </c>
      <c r="P74" s="7">
        <f t="shared" si="97"/>
        <v>0</v>
      </c>
      <c r="Y74" s="7">
        <f>0.05*Y17*0.05</f>
        <v>46.266187500000001</v>
      </c>
    </row>
    <row r="75" spans="1:32" x14ac:dyDescent="0.25">
      <c r="A75" s="26">
        <v>100000017899</v>
      </c>
      <c r="B75" s="27" t="s">
        <v>52</v>
      </c>
      <c r="C75" s="74">
        <f>C66*1%</f>
        <v>108.58</v>
      </c>
      <c r="D75" s="36">
        <f t="shared" si="90"/>
        <v>108.58000000000001</v>
      </c>
      <c r="K75" s="7">
        <f t="shared" si="94"/>
        <v>0</v>
      </c>
      <c r="P75" s="7">
        <f t="shared" si="91"/>
        <v>0</v>
      </c>
      <c r="T75" s="74">
        <f>T66*1%</f>
        <v>51.032599999999995</v>
      </c>
      <c r="Y75" s="7">
        <f t="shared" si="92"/>
        <v>0</v>
      </c>
      <c r="AD75" s="74">
        <f>AD66*1%</f>
        <v>57.54740000000001</v>
      </c>
    </row>
    <row r="76" spans="1:32" x14ac:dyDescent="0.25">
      <c r="A76" s="26">
        <v>100000017897</v>
      </c>
      <c r="B76" s="27" t="s">
        <v>53</v>
      </c>
      <c r="C76" s="43">
        <f>C66*5%</f>
        <v>542.9</v>
      </c>
      <c r="D76" s="36">
        <f t="shared" si="90"/>
        <v>542.9</v>
      </c>
      <c r="K76" s="7">
        <f t="shared" si="94"/>
        <v>0</v>
      </c>
      <c r="P76" s="7">
        <f t="shared" si="91"/>
        <v>0</v>
      </c>
      <c r="T76" s="43">
        <f>T66*5%</f>
        <v>255.16299999999998</v>
      </c>
      <c r="Y76" s="7">
        <f t="shared" si="92"/>
        <v>0</v>
      </c>
      <c r="AD76" s="43">
        <f>AD66*5%</f>
        <v>287.73700000000002</v>
      </c>
    </row>
    <row r="77" spans="1:32" x14ac:dyDescent="0.25">
      <c r="A77" s="26"/>
      <c r="B77" s="27" t="s">
        <v>121</v>
      </c>
      <c r="C77" s="36">
        <v>650</v>
      </c>
      <c r="D77" s="36">
        <f t="shared" si="90"/>
        <v>650</v>
      </c>
      <c r="K77" s="7">
        <f>C77</f>
        <v>650</v>
      </c>
    </row>
    <row r="78" spans="1:32" x14ac:dyDescent="0.25">
      <c r="A78" s="26"/>
      <c r="B78" s="27" t="s">
        <v>122</v>
      </c>
      <c r="C78" s="36">
        <v>250</v>
      </c>
      <c r="D78" s="36">
        <f t="shared" si="90"/>
        <v>250</v>
      </c>
      <c r="K78" s="7">
        <f t="shared" ref="K78:K80" si="99">C78</f>
        <v>250</v>
      </c>
    </row>
    <row r="79" spans="1:32" x14ac:dyDescent="0.25">
      <c r="A79" s="26"/>
      <c r="B79" s="27" t="s">
        <v>127</v>
      </c>
      <c r="C79" s="36">
        <v>100</v>
      </c>
      <c r="D79" s="36">
        <f t="shared" si="90"/>
        <v>100</v>
      </c>
      <c r="K79" s="7">
        <f t="shared" si="99"/>
        <v>100</v>
      </c>
    </row>
    <row r="80" spans="1:32" x14ac:dyDescent="0.25">
      <c r="A80" s="26"/>
      <c r="B80" s="27" t="s">
        <v>128</v>
      </c>
      <c r="C80" s="36">
        <v>100</v>
      </c>
      <c r="D80" s="36">
        <f t="shared" si="90"/>
        <v>100</v>
      </c>
      <c r="K80" s="7">
        <f t="shared" si="99"/>
        <v>100</v>
      </c>
    </row>
    <row r="81" spans="1:32" x14ac:dyDescent="0.25">
      <c r="A81" s="26">
        <v>100000002979</v>
      </c>
      <c r="B81" s="27" t="s">
        <v>54</v>
      </c>
      <c r="C81" s="53"/>
      <c r="D81" s="36">
        <f t="shared" si="90"/>
        <v>0</v>
      </c>
      <c r="K81" s="7">
        <f t="shared" si="94"/>
        <v>0</v>
      </c>
      <c r="P81" s="7">
        <f t="shared" si="91"/>
        <v>0</v>
      </c>
      <c r="Y81" s="7">
        <f t="shared" si="92"/>
        <v>0</v>
      </c>
      <c r="AD81" s="7">
        <f t="shared" si="93"/>
        <v>0</v>
      </c>
    </row>
    <row r="82" spans="1:32" x14ac:dyDescent="0.25">
      <c r="A82" s="26">
        <v>100000011634</v>
      </c>
      <c r="B82" s="27" t="s">
        <v>55</v>
      </c>
      <c r="C82" s="43">
        <v>700</v>
      </c>
      <c r="D82" s="36">
        <f t="shared" si="90"/>
        <v>700</v>
      </c>
      <c r="K82" s="7">
        <v>700</v>
      </c>
      <c r="P82" s="7">
        <f t="shared" si="91"/>
        <v>0</v>
      </c>
      <c r="Y82" s="7">
        <f t="shared" si="92"/>
        <v>0</v>
      </c>
      <c r="AD82" s="7">
        <f t="shared" si="93"/>
        <v>0</v>
      </c>
    </row>
    <row r="83" spans="1:32" x14ac:dyDescent="0.25">
      <c r="A83" s="26">
        <v>100000021592</v>
      </c>
      <c r="B83" s="27" t="s">
        <v>56</v>
      </c>
      <c r="C83" s="45">
        <v>237</v>
      </c>
      <c r="D83" s="36">
        <f t="shared" si="90"/>
        <v>237</v>
      </c>
      <c r="K83" s="7">
        <f t="shared" si="94"/>
        <v>0</v>
      </c>
      <c r="P83" s="7">
        <f t="shared" si="91"/>
        <v>0</v>
      </c>
      <c r="T83" s="7">
        <f>C83</f>
        <v>237</v>
      </c>
      <c r="Y83" s="7">
        <f t="shared" si="92"/>
        <v>0</v>
      </c>
    </row>
    <row r="84" spans="1:32" x14ac:dyDescent="0.25">
      <c r="A84" s="26">
        <v>100000023573</v>
      </c>
      <c r="B84" s="27" t="s">
        <v>135</v>
      </c>
      <c r="C84" s="43"/>
      <c r="D84" s="36">
        <f t="shared" si="90"/>
        <v>0</v>
      </c>
      <c r="K84" s="7">
        <f t="shared" si="94"/>
        <v>0</v>
      </c>
      <c r="P84" s="7">
        <f t="shared" si="91"/>
        <v>0</v>
      </c>
      <c r="Y84" s="7">
        <f t="shared" si="92"/>
        <v>0</v>
      </c>
      <c r="AD84" s="7">
        <f t="shared" si="93"/>
        <v>0</v>
      </c>
    </row>
    <row r="85" spans="1:32" x14ac:dyDescent="0.25">
      <c r="A85" s="26">
        <v>100000023571</v>
      </c>
      <c r="B85" s="27" t="s">
        <v>136</v>
      </c>
      <c r="C85" s="43"/>
      <c r="D85" s="36">
        <f t="shared" si="90"/>
        <v>0</v>
      </c>
      <c r="K85" s="7">
        <f t="shared" si="94"/>
        <v>0</v>
      </c>
      <c r="P85" s="7">
        <f t="shared" si="91"/>
        <v>0</v>
      </c>
      <c r="Y85" s="7">
        <f t="shared" si="92"/>
        <v>0</v>
      </c>
      <c r="AD85" s="7">
        <f t="shared" si="93"/>
        <v>0</v>
      </c>
    </row>
    <row r="86" spans="1:32" x14ac:dyDescent="0.25">
      <c r="A86" s="26">
        <v>100000023572</v>
      </c>
      <c r="B86" s="27" t="s">
        <v>61</v>
      </c>
      <c r="C86" s="43"/>
      <c r="D86" s="36">
        <f t="shared" si="90"/>
        <v>0</v>
      </c>
      <c r="K86" s="7">
        <f t="shared" si="94"/>
        <v>0</v>
      </c>
      <c r="P86" s="7">
        <f t="shared" si="91"/>
        <v>0</v>
      </c>
      <c r="Y86" s="7">
        <f t="shared" si="92"/>
        <v>0</v>
      </c>
      <c r="AD86" s="7">
        <f t="shared" si="93"/>
        <v>0</v>
      </c>
    </row>
    <row r="87" spans="1:32" x14ac:dyDescent="0.25">
      <c r="A87" s="26">
        <v>100000023574</v>
      </c>
      <c r="B87" s="27" t="s">
        <v>138</v>
      </c>
      <c r="C87" s="43"/>
      <c r="D87" s="36">
        <f t="shared" si="90"/>
        <v>0</v>
      </c>
      <c r="K87" s="7">
        <f t="shared" si="94"/>
        <v>0</v>
      </c>
      <c r="P87" s="7">
        <f t="shared" si="91"/>
        <v>0</v>
      </c>
      <c r="Y87" s="7">
        <f t="shared" si="92"/>
        <v>0</v>
      </c>
      <c r="AD87" s="7">
        <f t="shared" si="93"/>
        <v>0</v>
      </c>
    </row>
    <row r="88" spans="1:32" x14ac:dyDescent="0.25">
      <c r="A88" s="26">
        <v>100000017904</v>
      </c>
      <c r="B88" s="27" t="s">
        <v>137</v>
      </c>
      <c r="C88" s="45"/>
      <c r="D88" s="36">
        <f t="shared" si="90"/>
        <v>0</v>
      </c>
      <c r="K88" s="7">
        <f t="shared" si="94"/>
        <v>0</v>
      </c>
      <c r="P88" s="7">
        <f t="shared" si="91"/>
        <v>0</v>
      </c>
      <c r="Y88" s="7">
        <f t="shared" si="92"/>
        <v>0</v>
      </c>
      <c r="AD88" s="7">
        <f t="shared" si="93"/>
        <v>0</v>
      </c>
    </row>
    <row r="89" spans="1:32" x14ac:dyDescent="0.25">
      <c r="A89" s="26">
        <v>100000025748</v>
      </c>
      <c r="B89" s="27" t="s">
        <v>62</v>
      </c>
      <c r="C89" s="45">
        <v>525</v>
      </c>
      <c r="D89" s="36">
        <f t="shared" si="90"/>
        <v>525</v>
      </c>
      <c r="K89" s="7">
        <f>C89</f>
        <v>525</v>
      </c>
      <c r="P89" s="7">
        <f t="shared" si="91"/>
        <v>0</v>
      </c>
      <c r="Y89" s="7">
        <f t="shared" si="92"/>
        <v>0</v>
      </c>
      <c r="AD89" s="7">
        <f t="shared" si="93"/>
        <v>0</v>
      </c>
    </row>
    <row r="90" spans="1:32" x14ac:dyDescent="0.25">
      <c r="A90" s="26">
        <v>100000025749</v>
      </c>
      <c r="B90" s="28" t="s">
        <v>63</v>
      </c>
      <c r="C90" s="45">
        <v>381</v>
      </c>
      <c r="D90" s="36">
        <f t="shared" si="90"/>
        <v>381</v>
      </c>
      <c r="K90" s="7">
        <f>C90</f>
        <v>381</v>
      </c>
      <c r="P90" s="7">
        <f t="shared" si="91"/>
        <v>0</v>
      </c>
      <c r="Y90" s="7">
        <f t="shared" si="92"/>
        <v>0</v>
      </c>
      <c r="AD90" s="7">
        <f t="shared" si="93"/>
        <v>0</v>
      </c>
    </row>
    <row r="91" spans="1:32" x14ac:dyDescent="0.25">
      <c r="A91" s="26"/>
      <c r="B91" s="28" t="s">
        <v>134</v>
      </c>
      <c r="C91" s="45"/>
      <c r="D91" s="36"/>
    </row>
    <row r="92" spans="1:32" x14ac:dyDescent="0.25">
      <c r="A92" s="26">
        <v>100000025958</v>
      </c>
      <c r="B92" s="27" t="s">
        <v>133</v>
      </c>
      <c r="C92" s="36">
        <v>500</v>
      </c>
      <c r="D92" s="36">
        <f>K92+P92+T92+Y92+AD92</f>
        <v>500</v>
      </c>
      <c r="K92" s="7">
        <f t="shared" ref="K92" si="100">SUM(F92:J92)</f>
        <v>0</v>
      </c>
      <c r="P92" s="7">
        <f>C92</f>
        <v>500</v>
      </c>
      <c r="Y92" s="7">
        <f t="shared" si="92"/>
        <v>0</v>
      </c>
      <c r="AD92" s="7">
        <f t="shared" si="93"/>
        <v>0</v>
      </c>
    </row>
    <row r="93" spans="1:32" x14ac:dyDescent="0.25">
      <c r="A93" s="77" t="s">
        <v>65</v>
      </c>
      <c r="B93" s="78"/>
      <c r="C93" s="36">
        <f>SUM(C45:C92)</f>
        <v>100517.93</v>
      </c>
      <c r="D93" s="36">
        <f>K93+P93+T93+Y93+AD93</f>
        <v>100517.93</v>
      </c>
      <c r="K93" s="36">
        <f>SUM(K45:K92)</f>
        <v>26644.976249999996</v>
      </c>
      <c r="P93" s="36">
        <f>SUM(P45:P92)</f>
        <v>27435.32</v>
      </c>
      <c r="S93" s="36"/>
      <c r="T93" s="36">
        <f>SUM(T45:T92)</f>
        <v>6074.0370999999986</v>
      </c>
      <c r="Y93" s="36">
        <f>SUM(Y45:Y92)</f>
        <v>18363.903750000005</v>
      </c>
      <c r="AD93" s="36">
        <f>SUM(AD45:AD92)</f>
        <v>21999.692899999998</v>
      </c>
    </row>
    <row r="94" spans="1:32" x14ac:dyDescent="0.25">
      <c r="A94" s="41"/>
      <c r="B94" s="42"/>
      <c r="C94" s="36"/>
      <c r="D94" s="36"/>
    </row>
    <row r="95" spans="1:32" x14ac:dyDescent="0.25">
      <c r="A95" s="26">
        <v>100000002973</v>
      </c>
      <c r="B95" s="29" t="s">
        <v>66</v>
      </c>
      <c r="C95" s="36">
        <f>C70+C47</f>
        <v>1700</v>
      </c>
      <c r="D95" s="36">
        <f t="shared" ref="D95:D110" si="101">K95+P95+R95+Y95+AD95</f>
        <v>1700</v>
      </c>
      <c r="K95" s="36">
        <f>K70+K47</f>
        <v>0</v>
      </c>
      <c r="O95" s="7">
        <f>P95</f>
        <v>1530</v>
      </c>
      <c r="P95" s="36">
        <f>P70+P47</f>
        <v>1530</v>
      </c>
      <c r="R95" s="36">
        <f>T70+T47</f>
        <v>0</v>
      </c>
      <c r="S95" s="36"/>
      <c r="T95" s="36"/>
      <c r="Y95" s="36">
        <f>Y70+Y47</f>
        <v>0</v>
      </c>
      <c r="AC95" s="7">
        <f>AD95</f>
        <v>170</v>
      </c>
      <c r="AD95" s="36">
        <f>AD70+AD47</f>
        <v>170</v>
      </c>
      <c r="AF95" s="36">
        <f>K95+P95+R95+Y95+AD95</f>
        <v>1700</v>
      </c>
    </row>
    <row r="96" spans="1:32" x14ac:dyDescent="0.25">
      <c r="A96" s="26">
        <v>100000002975</v>
      </c>
      <c r="B96" s="29" t="s">
        <v>21</v>
      </c>
      <c r="C96" s="36">
        <f>C74+C73+C72+C71</f>
        <v>2500</v>
      </c>
      <c r="D96" s="36">
        <f t="shared" si="101"/>
        <v>2500</v>
      </c>
      <c r="J96" s="7">
        <f>K96</f>
        <v>665.07624999999985</v>
      </c>
      <c r="K96" s="36">
        <f>K74+K73+K72+K71</f>
        <v>665.07624999999985</v>
      </c>
      <c r="P96" s="36">
        <f>P74+P73+P72+P71</f>
        <v>0</v>
      </c>
      <c r="R96" s="36">
        <f>T74+T73+T72+T71</f>
        <v>0</v>
      </c>
      <c r="S96" s="36"/>
      <c r="T96" s="36"/>
      <c r="V96" s="7">
        <f>Y96-W96-X96</f>
        <v>293.85134999999997</v>
      </c>
      <c r="W96" s="7">
        <f>0.06*SUM(W99:W110)</f>
        <v>315.7362</v>
      </c>
      <c r="X96" s="7">
        <f>0.06*SUM(X99:X110)</f>
        <v>315.7362</v>
      </c>
      <c r="Y96" s="36">
        <f>Y74+Y73+Y72+Y71</f>
        <v>925.32375000000002</v>
      </c>
      <c r="AA96" s="7">
        <f>AD96*0.5</f>
        <v>454.8</v>
      </c>
      <c r="AB96" s="7">
        <f>AD96*0.25</f>
        <v>227.4</v>
      </c>
      <c r="AC96" s="7">
        <f>AD96*0.25</f>
        <v>227.4</v>
      </c>
      <c r="AD96" s="36">
        <f>AD74+AD73+AD72+AD71</f>
        <v>909.6</v>
      </c>
      <c r="AF96" s="36">
        <f t="shared" ref="AF96:AF110" si="102">K96+P96+R96+Y96+AD96</f>
        <v>2500</v>
      </c>
    </row>
    <row r="97" spans="1:32" x14ac:dyDescent="0.25">
      <c r="A97" s="26">
        <v>100000002980</v>
      </c>
      <c r="B97" s="29" t="s">
        <v>67</v>
      </c>
      <c r="C97" s="36"/>
      <c r="D97" s="36">
        <f t="shared" si="101"/>
        <v>0</v>
      </c>
      <c r="K97" s="36">
        <v>0</v>
      </c>
      <c r="N97" s="7">
        <f>P97*0.5</f>
        <v>0</v>
      </c>
      <c r="O97" s="7">
        <f>P97*0.5</f>
        <v>0</v>
      </c>
      <c r="P97" s="36"/>
      <c r="R97" s="36">
        <v>0</v>
      </c>
      <c r="S97" s="36"/>
      <c r="T97" s="36"/>
      <c r="Y97" s="36">
        <v>0</v>
      </c>
      <c r="AD97" s="36">
        <v>0</v>
      </c>
      <c r="AF97" s="36">
        <f t="shared" si="102"/>
        <v>0</v>
      </c>
    </row>
    <row r="98" spans="1:32" x14ac:dyDescent="0.25">
      <c r="A98" s="26">
        <v>100000002981</v>
      </c>
      <c r="B98" s="29" t="s">
        <v>68</v>
      </c>
      <c r="C98" s="36">
        <v>0</v>
      </c>
      <c r="D98" s="36">
        <f t="shared" si="101"/>
        <v>0</v>
      </c>
      <c r="K98" s="36">
        <v>0</v>
      </c>
      <c r="P98" s="36">
        <v>0</v>
      </c>
      <c r="R98" s="36">
        <v>0</v>
      </c>
      <c r="S98" s="36"/>
      <c r="T98" s="36"/>
      <c r="Y98" s="36">
        <v>0</v>
      </c>
      <c r="AD98" s="36">
        <v>0</v>
      </c>
      <c r="AF98" s="36">
        <f t="shared" si="102"/>
        <v>0</v>
      </c>
    </row>
    <row r="99" spans="1:32" x14ac:dyDescent="0.25">
      <c r="A99" s="26">
        <v>100000002982</v>
      </c>
      <c r="B99" s="29" t="s">
        <v>69</v>
      </c>
      <c r="C99" s="36">
        <f>C64+C69+C91</f>
        <v>22229</v>
      </c>
      <c r="D99" s="36">
        <f t="shared" si="101"/>
        <v>22229</v>
      </c>
      <c r="G99" s="7">
        <f>K99</f>
        <v>4867.4000000000005</v>
      </c>
      <c r="K99" s="36">
        <f>K64+K69+K91</f>
        <v>4867.4000000000005</v>
      </c>
      <c r="N99" s="7">
        <f>P99*0.25</f>
        <v>0</v>
      </c>
      <c r="O99" s="7">
        <f>P99*0.75</f>
        <v>0</v>
      </c>
      <c r="P99" s="36">
        <f>P64+P69+P91</f>
        <v>0</v>
      </c>
      <c r="R99" s="36">
        <f>T64+T69</f>
        <v>0</v>
      </c>
      <c r="S99" s="36"/>
      <c r="T99" s="36"/>
      <c r="V99" s="7">
        <f>Y99*0.4</f>
        <v>3906.36</v>
      </c>
      <c r="W99" s="7">
        <f>Y99*0.3</f>
        <v>2929.77</v>
      </c>
      <c r="X99" s="7">
        <f>Y99*0.3</f>
        <v>2929.77</v>
      </c>
      <c r="Y99" s="36">
        <f>Y64+Y69+Y91</f>
        <v>9765.9</v>
      </c>
      <c r="AC99" s="7">
        <f>AD99</f>
        <v>7595.7</v>
      </c>
      <c r="AD99" s="36">
        <f>AD64+AD69+AD91</f>
        <v>7595.7</v>
      </c>
      <c r="AF99" s="36">
        <f t="shared" si="102"/>
        <v>22229</v>
      </c>
    </row>
    <row r="100" spans="1:32" x14ac:dyDescent="0.25">
      <c r="A100" s="26">
        <v>100000002989</v>
      </c>
      <c r="B100" s="29" t="s">
        <v>18</v>
      </c>
      <c r="C100" s="36">
        <f>C63</f>
        <v>7000</v>
      </c>
      <c r="D100" s="36">
        <f t="shared" si="101"/>
        <v>7000</v>
      </c>
      <c r="K100" s="36">
        <f>K63</f>
        <v>0</v>
      </c>
      <c r="P100" s="36">
        <f>P63</f>
        <v>0</v>
      </c>
      <c r="R100" s="36">
        <f>T63</f>
        <v>0</v>
      </c>
      <c r="S100" s="36"/>
      <c r="T100" s="36"/>
      <c r="V100" s="7">
        <f>Y100*0.3</f>
        <v>1785</v>
      </c>
      <c r="W100" s="7">
        <f>Y100*0.35</f>
        <v>2082.5</v>
      </c>
      <c r="X100" s="7">
        <f>Y100*0.35</f>
        <v>2082.5</v>
      </c>
      <c r="Y100" s="36">
        <f>Y63</f>
        <v>5950</v>
      </c>
      <c r="AC100" s="7">
        <f>AD100</f>
        <v>1050</v>
      </c>
      <c r="AD100" s="36">
        <f>AD63</f>
        <v>1050</v>
      </c>
      <c r="AF100" s="36">
        <f t="shared" si="102"/>
        <v>7000</v>
      </c>
    </row>
    <row r="101" spans="1:32" x14ac:dyDescent="0.25">
      <c r="A101" s="26">
        <v>100000006036</v>
      </c>
      <c r="B101" s="29" t="s">
        <v>70</v>
      </c>
      <c r="C101" s="36">
        <f>C67+C46</f>
        <v>3750</v>
      </c>
      <c r="D101" s="36">
        <f t="shared" si="101"/>
        <v>3750</v>
      </c>
      <c r="I101" s="7">
        <f>K101</f>
        <v>3750</v>
      </c>
      <c r="K101" s="36">
        <f>K67+K46</f>
        <v>3750</v>
      </c>
      <c r="P101" s="36">
        <f>P67+P46</f>
        <v>0</v>
      </c>
      <c r="R101" s="36">
        <f>T67+T46</f>
        <v>0</v>
      </c>
      <c r="S101" s="36"/>
      <c r="T101" s="36"/>
      <c r="Y101" s="36">
        <f>Y67+Y46</f>
        <v>0</v>
      </c>
      <c r="AD101" s="36">
        <f>AD67+AD46</f>
        <v>0</v>
      </c>
      <c r="AF101" s="36">
        <f t="shared" si="102"/>
        <v>3750</v>
      </c>
    </row>
    <row r="102" spans="1:32" x14ac:dyDescent="0.25">
      <c r="A102" s="26">
        <v>100000006046</v>
      </c>
      <c r="B102" s="29" t="s">
        <v>71</v>
      </c>
      <c r="C102" s="36">
        <f>C82+C68</f>
        <v>1000</v>
      </c>
      <c r="D102" s="36">
        <f t="shared" si="101"/>
        <v>1000</v>
      </c>
      <c r="J102" s="7">
        <f>K102</f>
        <v>1000</v>
      </c>
      <c r="K102" s="36">
        <f>K82+K68</f>
        <v>1000</v>
      </c>
      <c r="P102" s="36">
        <f>P82+P68</f>
        <v>0</v>
      </c>
      <c r="R102" s="36">
        <f>T82+T68</f>
        <v>0</v>
      </c>
      <c r="S102" s="36"/>
      <c r="T102" s="36"/>
      <c r="Y102" s="36">
        <f>Y82+Y68</f>
        <v>0</v>
      </c>
      <c r="AD102" s="36">
        <f>AD82+AD68</f>
        <v>0</v>
      </c>
      <c r="AF102" s="36">
        <f t="shared" si="102"/>
        <v>1000</v>
      </c>
    </row>
    <row r="103" spans="1:32" x14ac:dyDescent="0.25">
      <c r="A103" s="26">
        <v>100000006047</v>
      </c>
      <c r="B103" s="29" t="s">
        <v>72</v>
      </c>
      <c r="C103" s="36">
        <f>C53+C92</f>
        <v>20878</v>
      </c>
      <c r="D103" s="36">
        <f t="shared" si="101"/>
        <v>20878</v>
      </c>
      <c r="H103" s="7">
        <f>K103</f>
        <v>0</v>
      </c>
      <c r="K103" s="36">
        <f>K53+K92</f>
        <v>0</v>
      </c>
      <c r="N103" s="7">
        <f>P103*0.4</f>
        <v>7862.1280000000006</v>
      </c>
      <c r="O103" s="7">
        <f>P103*0.6</f>
        <v>11793.191999999999</v>
      </c>
      <c r="P103" s="36">
        <f>P53+P92</f>
        <v>19655.32</v>
      </c>
      <c r="R103" s="36">
        <f>T53</f>
        <v>0</v>
      </c>
      <c r="S103" s="36"/>
      <c r="T103" s="36"/>
      <c r="V103" s="7">
        <f>Y103</f>
        <v>1222.68</v>
      </c>
      <c r="Y103" s="36">
        <f>Y53+Y92</f>
        <v>1222.68</v>
      </c>
      <c r="AD103" s="36">
        <f>AD53+AD92</f>
        <v>0</v>
      </c>
      <c r="AF103" s="36">
        <f t="shared" si="102"/>
        <v>20878</v>
      </c>
    </row>
    <row r="104" spans="1:32" x14ac:dyDescent="0.25">
      <c r="A104" s="26">
        <v>100000006048</v>
      </c>
      <c r="B104" s="29" t="s">
        <v>73</v>
      </c>
      <c r="C104" s="36">
        <f>C90+C89+C58+C57+C56+C55</f>
        <v>1200</v>
      </c>
      <c r="D104" s="36">
        <f t="shared" si="101"/>
        <v>1200</v>
      </c>
      <c r="J104" s="7">
        <f>K104</f>
        <v>1200</v>
      </c>
      <c r="K104" s="36">
        <f>K90+K89+K58+K57+K56+K55</f>
        <v>1200</v>
      </c>
      <c r="P104" s="36">
        <f>P90+P89+P58+P57+P56+P55</f>
        <v>0</v>
      </c>
      <c r="R104" s="36">
        <f>T90+T89+T58+T57+T56+T55</f>
        <v>0</v>
      </c>
      <c r="S104" s="36"/>
      <c r="T104" s="36"/>
      <c r="Y104" s="36">
        <f>Y90+Y89+Y58+Y57+Y56+Y55</f>
        <v>0</v>
      </c>
      <c r="AD104" s="36">
        <f>AD90+AD89+AD58+AD57+AD56+AD55</f>
        <v>0</v>
      </c>
      <c r="AF104" s="36">
        <f t="shared" si="102"/>
        <v>1200</v>
      </c>
    </row>
    <row r="105" spans="1:32" x14ac:dyDescent="0.25">
      <c r="A105" s="26">
        <v>100000011633</v>
      </c>
      <c r="B105" s="29" t="s">
        <v>74</v>
      </c>
      <c r="C105" s="36">
        <f>C55+C94</f>
        <v>15</v>
      </c>
      <c r="D105" s="36">
        <f t="shared" si="101"/>
        <v>0</v>
      </c>
      <c r="K105" s="36">
        <v>0</v>
      </c>
      <c r="P105" s="36">
        <v>0</v>
      </c>
      <c r="R105" s="36">
        <v>0</v>
      </c>
      <c r="S105" s="36"/>
      <c r="T105" s="36"/>
      <c r="Y105" s="36">
        <v>0</v>
      </c>
      <c r="AD105" s="36">
        <v>0</v>
      </c>
      <c r="AF105" s="36">
        <f t="shared" si="102"/>
        <v>0</v>
      </c>
    </row>
    <row r="106" spans="1:32" x14ac:dyDescent="0.25">
      <c r="A106" s="26">
        <v>100000012014</v>
      </c>
      <c r="B106" s="29" t="s">
        <v>75</v>
      </c>
      <c r="C106" s="36">
        <v>0</v>
      </c>
      <c r="D106" s="36">
        <f t="shared" si="101"/>
        <v>0</v>
      </c>
      <c r="K106" s="36">
        <v>0</v>
      </c>
      <c r="P106" s="36">
        <v>0</v>
      </c>
      <c r="R106" s="36">
        <v>0</v>
      </c>
      <c r="S106" s="36"/>
      <c r="T106" s="36"/>
      <c r="Y106" s="36">
        <v>0</v>
      </c>
      <c r="AD106" s="36">
        <v>0</v>
      </c>
      <c r="AF106" s="36">
        <f t="shared" si="102"/>
        <v>0</v>
      </c>
    </row>
    <row r="107" spans="1:32" x14ac:dyDescent="0.25">
      <c r="A107" s="26">
        <v>100000017893</v>
      </c>
      <c r="B107" s="29" t="s">
        <v>76</v>
      </c>
      <c r="C107" s="36">
        <f>C65</f>
        <v>18750</v>
      </c>
      <c r="D107" s="36">
        <f t="shared" si="101"/>
        <v>18750</v>
      </c>
      <c r="G107" s="7">
        <f>K107*0.3</f>
        <v>4218.75</v>
      </c>
      <c r="H107" s="7">
        <f>K107*0.7</f>
        <v>9843.75</v>
      </c>
      <c r="K107" s="36">
        <f>K65</f>
        <v>14062.5</v>
      </c>
      <c r="N107" s="7">
        <f>P107*0.2</f>
        <v>0</v>
      </c>
      <c r="O107" s="7">
        <f>P107*0.8</f>
        <v>0</v>
      </c>
      <c r="P107" s="36">
        <f>P65</f>
        <v>0</v>
      </c>
      <c r="R107" s="36">
        <f>T65</f>
        <v>0</v>
      </c>
      <c r="S107" s="36"/>
      <c r="T107" s="36"/>
      <c r="Y107" s="36">
        <f>Y65</f>
        <v>0</v>
      </c>
      <c r="AC107" s="7">
        <f>AD107</f>
        <v>4687.5</v>
      </c>
      <c r="AD107" s="36">
        <f>AD65</f>
        <v>4687.5</v>
      </c>
      <c r="AF107" s="36">
        <f t="shared" si="102"/>
        <v>18750</v>
      </c>
    </row>
    <row r="108" spans="1:32" x14ac:dyDescent="0.25">
      <c r="A108" s="26">
        <v>100000032221</v>
      </c>
      <c r="B108" s="29" t="s">
        <v>77</v>
      </c>
      <c r="C108" s="36">
        <f>C54</f>
        <v>6250</v>
      </c>
      <c r="D108" s="36">
        <f t="shared" si="101"/>
        <v>6250</v>
      </c>
      <c r="G108" s="7">
        <f>K108</f>
        <v>0</v>
      </c>
      <c r="K108" s="36">
        <f>K54</f>
        <v>0</v>
      </c>
      <c r="N108" s="7">
        <f>P108</f>
        <v>6250</v>
      </c>
      <c r="P108" s="36">
        <f>P54</f>
        <v>6250</v>
      </c>
      <c r="R108" s="36">
        <f>T54</f>
        <v>0</v>
      </c>
      <c r="S108" s="36"/>
      <c r="T108" s="36"/>
      <c r="W108" s="7">
        <f>Y108*0.5</f>
        <v>0</v>
      </c>
      <c r="X108" s="7">
        <f>Y108*0.5</f>
        <v>0</v>
      </c>
      <c r="Y108" s="36">
        <f>Y54</f>
        <v>0</v>
      </c>
      <c r="AD108" s="36">
        <f>AD54</f>
        <v>0</v>
      </c>
      <c r="AF108" s="36">
        <f t="shared" si="102"/>
        <v>6250</v>
      </c>
    </row>
    <row r="109" spans="1:32" x14ac:dyDescent="0.25">
      <c r="A109" s="26">
        <v>100000017894</v>
      </c>
      <c r="B109" s="29" t="s">
        <v>78</v>
      </c>
      <c r="C109" s="36">
        <f>C83+C66+C49+C51+C52+C48+C75+C76+C84+C85+C86+C87</f>
        <v>13660.93</v>
      </c>
      <c r="D109" s="36">
        <f>K109+P109+T109+Y109+AD109</f>
        <v>13660.93</v>
      </c>
      <c r="K109" s="36">
        <f>K83+K66+K49+K51+K52+K48+K75+K76</f>
        <v>0</v>
      </c>
      <c r="P109" s="36">
        <f>P83+P66+P49+P51+P52+P48+P75+P76</f>
        <v>0</v>
      </c>
      <c r="R109" s="36">
        <f>T35</f>
        <v>5537.0370999999986</v>
      </c>
      <c r="S109" s="36">
        <f>T36</f>
        <v>537</v>
      </c>
      <c r="T109" s="36">
        <f>T83+T66+T49+T51+T52+T48+T75+T76+T84+T85+T86+T87</f>
        <v>6074.0370999999986</v>
      </c>
      <c r="Y109" s="36">
        <f>Y83+Y66+Y49+Y51+Y52+Y48+Y75+Y76</f>
        <v>0</v>
      </c>
      <c r="AA109" s="7">
        <f>AD35</f>
        <v>6243.8929000000007</v>
      </c>
      <c r="AB109" s="7">
        <f>AD36</f>
        <v>1343</v>
      </c>
      <c r="AD109" s="36">
        <f>AD83+AD66+AD49+AD51+AD52+AD48+AD75+AD76+AD84+AD85+AD86+AD87</f>
        <v>7586.8929000000007</v>
      </c>
      <c r="AF109" s="36">
        <f t="shared" si="102"/>
        <v>13123.93</v>
      </c>
    </row>
    <row r="110" spans="1:32" x14ac:dyDescent="0.25">
      <c r="B110" s="19" t="s">
        <v>84</v>
      </c>
      <c r="C110" s="16">
        <f>C50</f>
        <v>500</v>
      </c>
      <c r="D110" s="36">
        <f t="shared" si="101"/>
        <v>500</v>
      </c>
      <c r="K110" s="16">
        <f>K50</f>
        <v>0</v>
      </c>
      <c r="P110" s="16">
        <f>P50</f>
        <v>0</v>
      </c>
      <c r="R110" s="16">
        <f>T50</f>
        <v>0</v>
      </c>
      <c r="S110" s="16"/>
      <c r="T110" s="16"/>
      <c r="W110" s="7">
        <v>250</v>
      </c>
      <c r="X110" s="7">
        <v>250</v>
      </c>
      <c r="Y110" s="16">
        <f>Y50</f>
        <v>500</v>
      </c>
      <c r="AD110" s="16">
        <f>AD50</f>
        <v>0</v>
      </c>
      <c r="AF110" s="36">
        <f t="shared" si="102"/>
        <v>500</v>
      </c>
    </row>
    <row r="111" spans="1:32" x14ac:dyDescent="0.25">
      <c r="B111" s="16" t="s">
        <v>94</v>
      </c>
      <c r="C111" s="16">
        <f>C77+C78+C79+C80</f>
        <v>1100</v>
      </c>
      <c r="D111" s="36">
        <f t="shared" ref="D111" si="103">K111+P111+R111+Y111+AD111</f>
        <v>1100</v>
      </c>
      <c r="G111" s="7">
        <f>K111*0.5</f>
        <v>550</v>
      </c>
      <c r="H111" s="7">
        <f>K111*0.5</f>
        <v>550</v>
      </c>
      <c r="K111" s="16">
        <f>K77+K78+K79+K80</f>
        <v>1100</v>
      </c>
      <c r="P111" s="16">
        <f>P77+P78+P79+P80</f>
        <v>0</v>
      </c>
    </row>
    <row r="112" spans="1:32" x14ac:dyDescent="0.25">
      <c r="AC112" s="7">
        <f>AC100+AC99</f>
        <v>8645.7000000000007</v>
      </c>
    </row>
    <row r="113" spans="22:29" x14ac:dyDescent="0.25">
      <c r="AC113" s="7">
        <f>AC112/0.8</f>
        <v>10807.125</v>
      </c>
    </row>
    <row r="114" spans="22:29" x14ac:dyDescent="0.25">
      <c r="AC114" s="7">
        <f>AC113*0.27</f>
        <v>2917.9237500000004</v>
      </c>
    </row>
    <row r="115" spans="22:29" x14ac:dyDescent="0.25">
      <c r="AC115" s="49"/>
    </row>
    <row r="116" spans="22:29" x14ac:dyDescent="0.25">
      <c r="V116" s="46"/>
    </row>
    <row r="117" spans="22:29" x14ac:dyDescent="0.25">
      <c r="AA117" s="49"/>
      <c r="AB117" s="49"/>
    </row>
  </sheetData>
  <mergeCells count="17">
    <mergeCell ref="A93:B93"/>
    <mergeCell ref="BC41:BE41"/>
    <mergeCell ref="BO41:BQ41"/>
    <mergeCell ref="CA41:CC41"/>
    <mergeCell ref="CA25:CE25"/>
    <mergeCell ref="AP25:AU25"/>
    <mergeCell ref="AW25:BA25"/>
    <mergeCell ref="BC25:BG25"/>
    <mergeCell ref="BI25:BM25"/>
    <mergeCell ref="BO25:BS25"/>
    <mergeCell ref="BU25:BY25"/>
    <mergeCell ref="F6:K6"/>
    <mergeCell ref="M6:P6"/>
    <mergeCell ref="V6:Y6"/>
    <mergeCell ref="AA6:AD6"/>
    <mergeCell ref="AI25:AN25"/>
    <mergeCell ref="R6:T6"/>
  </mergeCells>
  <pageMargins left="0" right="0" top="0.75" bottom="0.75" header="0.3" footer="0.3"/>
  <pageSetup scale="33" fitToHeight="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Jan</vt:lpstr>
      <vt:lpstr>Jan (rev)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  <vt:lpstr>Nov</vt:lpstr>
      <vt:lpstr>Dec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Khator</dc:creator>
  <cp:lastModifiedBy>Admin</cp:lastModifiedBy>
  <cp:lastPrinted>2018-12-12T14:47:35Z</cp:lastPrinted>
  <dcterms:created xsi:type="dcterms:W3CDTF">2018-12-01T20:08:16Z</dcterms:created>
  <dcterms:modified xsi:type="dcterms:W3CDTF">2019-09-10T06:34:02Z</dcterms:modified>
</cp:coreProperties>
</file>